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R2" i="1" l="1"/>
  <c r="S2" i="1" l="1"/>
</calcChain>
</file>

<file path=xl/sharedStrings.xml><?xml version="1.0" encoding="utf-8"?>
<sst xmlns="http://schemas.openxmlformats.org/spreadsheetml/2006/main" count="58" uniqueCount="51">
  <si>
    <t>年份</t>
  </si>
  <si>
    <t>次数</t>
  </si>
  <si>
    <t>总分</t>
  </si>
  <si>
    <t>日期</t>
  </si>
  <si>
    <t>时间</t>
  </si>
  <si>
    <t>难度</t>
  </si>
  <si>
    <t>状态</t>
  </si>
  <si>
    <t>作者</t>
  </si>
  <si>
    <t>英一</t>
    <phoneticPr fontId="2" type="noConversion"/>
  </si>
  <si>
    <t>客观</t>
    <phoneticPr fontId="2" type="noConversion"/>
  </si>
  <si>
    <t>主观</t>
    <phoneticPr fontId="2" type="noConversion"/>
  </si>
  <si>
    <t>完型</t>
    <phoneticPr fontId="2" type="noConversion"/>
  </si>
  <si>
    <t>阅读A</t>
    <phoneticPr fontId="2" type="noConversion"/>
  </si>
  <si>
    <t>阅读B</t>
    <phoneticPr fontId="2" type="noConversion"/>
  </si>
  <si>
    <t>翻译</t>
    <phoneticPr fontId="2" type="noConversion"/>
  </si>
  <si>
    <t>小作文</t>
    <phoneticPr fontId="2" type="noConversion"/>
  </si>
  <si>
    <t>大作文</t>
    <phoneticPr fontId="2" type="noConversion"/>
  </si>
  <si>
    <t>备注</t>
    <phoneticPr fontId="2" type="noConversion"/>
  </si>
  <si>
    <t>阅读T4没看懂，阅读B和翻译练习少了，都没有感觉。做的时间也很长</t>
    <phoneticPr fontId="2" type="noConversion"/>
  </si>
  <si>
    <t>写完了然后改错两个，本来完型满的。。T4依然半懂，还需要多看外刊。作文也得练了</t>
    <phoneticPr fontId="2" type="noConversion"/>
  </si>
  <si>
    <t>以为很不好，阅读做的时候有点徘徊，纠结了挺长时间，但是分数出来还是可以的</t>
    <phoneticPr fontId="2" type="noConversion"/>
  </si>
  <si>
    <t>英一</t>
    <phoneticPr fontId="2" type="noConversion"/>
  </si>
  <si>
    <t>7.20</t>
    <phoneticPr fontId="2" type="noConversion"/>
  </si>
  <si>
    <t>完型做的时候有些纠结，但整体还行；阅读Text1,4爆炸了，Text1几乎全是2选1，Text4看不懂文章。翻译也看不懂。作文还是半吊子，尝试用高级词汇然后拼写错好多</t>
    <phoneticPr fontId="2" type="noConversion"/>
  </si>
  <si>
    <t>英一</t>
    <phoneticPr fontId="2" type="noConversion"/>
  </si>
  <si>
    <t>完型感觉爆炸了，不过只错了一个；阅读其实做的很顺的，但是还是错了三个；翻译还是感觉有点难；作文现在有点手感了，不过用词还是偏简单了一点</t>
    <phoneticPr fontId="2" type="noConversion"/>
  </si>
  <si>
    <t>黄皮书6套-1</t>
    <phoneticPr fontId="2" type="noConversion"/>
  </si>
  <si>
    <t>[练习] 分批次做，作文开卷考，以小作文多扣1分大作文多扣2分来弥补分数误差。 完型出的有点逆天，选项是为了出而出。阅读感觉出的有点简单。</t>
    <phoneticPr fontId="2" type="noConversion"/>
  </si>
  <si>
    <t>英二</t>
    <phoneticPr fontId="2" type="noConversion"/>
  </si>
  <si>
    <t>英二翻译大作文按照英一评分。这套卷子还是有点难的，阅读有些看不太懂，然后选项不是简单的替换词。</t>
    <phoneticPr fontId="2" type="noConversion"/>
  </si>
  <si>
    <t>阅读错的两个其实都是二选一选错了，感觉需要总结经验。作文慢慢熟练自己的模板然后deepseek显著给分高一些了，大作文甚至最开始给的14我叫他压分才给的12</t>
    <phoneticPr fontId="2" type="noConversion"/>
  </si>
  <si>
    <t>英一</t>
    <phoneticPr fontId="2" type="noConversion"/>
  </si>
  <si>
    <t>[全真模拟] 做阅读直接红温了，20度的天给我整出一身汗，还好最后只错了3个，感觉就是奇数年阅读难然后完型翻译简单</t>
    <phoneticPr fontId="2" type="noConversion"/>
  </si>
  <si>
    <t>英二</t>
    <phoneticPr fontId="2" type="noConversion"/>
  </si>
  <si>
    <t>阅读翻译有点白给，完型爆炸了，感觉很像老真题那种抠字眼考搭配。</t>
    <phoneticPr fontId="2" type="noConversion"/>
  </si>
  <si>
    <t>英二</t>
    <phoneticPr fontId="2" type="noConversion"/>
  </si>
  <si>
    <t>这次作文写的是真的有感觉多了，尤其是小作文刚好是20年英二的，真巧，直接相当于默写了；大作文模板也比较套路化了，还差大概1/3的部分没有套路化下来。</t>
    <phoneticPr fontId="2" type="noConversion"/>
  </si>
  <si>
    <t>不得不说英二客观题是真tmd简单，但是这次作文炸了，丝毫没有可以思辨的地方，全是事实陈述与拍马屁，模板不好套啊。</t>
    <phoneticPr fontId="2" type="noConversion"/>
  </si>
  <si>
    <t>有点6这partB，刚好顺序是一致的，只是先了一个就四个全错。阅读基本是二选一错了，还好作文不是特别难。</t>
    <phoneticPr fontId="2" type="noConversion"/>
  </si>
  <si>
    <t>英一</t>
    <phoneticPr fontId="2" type="noConversion"/>
  </si>
  <si>
    <t>英一</t>
    <phoneticPr fontId="2" type="noConversion"/>
  </si>
  <si>
    <t>英一真题</t>
    <phoneticPr fontId="2" type="noConversion"/>
  </si>
  <si>
    <t>英二真题</t>
    <phoneticPr fontId="2" type="noConversion"/>
  </si>
  <si>
    <t>有点太简单了，跟18年的反差太大了，阅读其实文章不算太简单，但是题目很直白。作文纯套路文章</t>
    <phoneticPr fontId="2" type="noConversion"/>
  </si>
  <si>
    <t>大作文用新模板后基本上都是直接默写了，分数和时间上都挺不错的</t>
    <phoneticPr fontId="2" type="noConversion"/>
  </si>
  <si>
    <t>[全真模拟] 做阅读还是有点热，text3,4做的很不舒服，结果text3果然错2个；完型也很爆炸，不过只错一个也还行；作文的话套路不能完全用了，但是写起来还是挺简单的</t>
    <phoneticPr fontId="2" type="noConversion"/>
  </si>
  <si>
    <t>英二</t>
    <phoneticPr fontId="2" type="noConversion"/>
  </si>
  <si>
    <t>作文有点太正能量了，不会拍马屁</t>
    <phoneticPr fontId="2" type="noConversion"/>
  </si>
  <si>
    <t>英二</t>
    <phoneticPr fontId="2" type="noConversion"/>
  </si>
  <si>
    <t>作文依旧不会写；做阅读Text3的时候感觉就是在赶进度，静不下心来</t>
    <phoneticPr fontId="2" type="noConversion"/>
  </si>
  <si>
    <t>一直久仰10年英语的大名，当成英语的李艳芳来做了。阅读文章就看的不太懂，题也不简单。PartB你让我看中文做我也拿不了满分。英一作文还是比较好写，这次因为前面的写太慢了，作文33分钟搞完了。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</si>
</sst>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family val="2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方正大黑简体"/>
      <family val="4"/>
      <charset val="134"/>
    </font>
    <font>
      <sz val="11"/>
      <color rgb="FF9C0006"/>
      <name val="Consolas"/>
      <family val="3"/>
    </font>
    <font>
      <sz val="11"/>
      <color rgb="FF9C6500"/>
      <name val="Consolas"/>
      <family val="3"/>
    </font>
    <font>
      <sz val="11"/>
      <color rgb="FF006100"/>
      <name val="Consolas"/>
      <family val="3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4" fillId="4" borderId="0" xfId="3" applyAlignment="1">
      <alignment horizontal="center"/>
    </xf>
    <xf numFmtId="0" fontId="3" fillId="3" borderId="0" xfId="2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4" borderId="0" xfId="3" applyFont="1" applyAlignment="1">
      <alignment horizontal="center"/>
    </xf>
    <xf numFmtId="0" fontId="8" fillId="2" borderId="0" xfId="1" applyFont="1" applyAlignment="1">
      <alignment horizontal="center"/>
    </xf>
    <xf numFmtId="0" fontId="9" fillId="3" borderId="0" xfId="2" applyFont="1" applyAlignment="1">
      <alignment horizontal="center"/>
    </xf>
    <xf numFmtId="0" fontId="10" fillId="0" borderId="0" xfId="0" applyFont="1" applyAlignment="1">
      <alignment horizontal="center"/>
    </xf>
  </cellXfs>
  <cellStyles count="4">
    <cellStyle name="差" xfId="3" builtinId="27"/>
    <cellStyle name="常规" xfId="0" builtinId="0"/>
    <cellStyle name="好" xfId="2" builtinId="26"/>
    <cellStyle name="适中" xfId="1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workbookViewId="0">
      <selection activeCell="D18" sqref="D18:D19"/>
    </sheetView>
  </sheetViews>
  <sheetFormatPr defaultRowHeight="14.4" x14ac:dyDescent="0.25"/>
  <cols>
    <col min="1" max="1" width="11.88671875" style="1" customWidth="1"/>
    <col min="2" max="2" width="5.5546875" style="1" customWidth="1"/>
    <col min="3" max="3" width="3.5546875" style="1" customWidth="1"/>
    <col min="4" max="4" width="6.33203125" style="1" customWidth="1"/>
    <col min="5" max="5" width="6.44140625" style="1" customWidth="1"/>
    <col min="6" max="6" width="5.109375" style="1" customWidth="1"/>
    <col min="7" max="7" width="4.6640625" style="1" customWidth="1"/>
    <col min="8" max="8" width="4.44140625" style="1" customWidth="1"/>
    <col min="9" max="9" width="6.88671875" style="1" customWidth="1"/>
    <col min="10" max="10" width="6.77734375" style="1" customWidth="1"/>
    <col min="11" max="11" width="6.33203125" style="1" customWidth="1"/>
    <col min="12" max="12" width="7.77734375" style="1" customWidth="1"/>
    <col min="13" max="13" width="7.109375" style="1" customWidth="1"/>
    <col min="14" max="14" width="6" style="1" customWidth="1"/>
    <col min="15" max="15" width="7.21875" style="1" customWidth="1"/>
    <col min="16" max="16" width="6.6640625" style="1" customWidth="1"/>
    <col min="17" max="17" width="35.6640625" style="1" customWidth="1"/>
    <col min="18" max="18" width="14.109375" style="1" customWidth="1"/>
    <col min="19" max="19" width="10.6640625" style="1" customWidth="1"/>
    <col min="20" max="16384" width="8.88671875" style="1"/>
  </cols>
  <sheetData>
    <row r="1" spans="1:19" x14ac:dyDescent="0.25">
      <c r="A1" s="7" t="s">
        <v>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41</v>
      </c>
      <c r="S1" s="7" t="s">
        <v>42</v>
      </c>
    </row>
    <row r="2" spans="1:19" ht="15" x14ac:dyDescent="0.3">
      <c r="A2" s="8" t="s">
        <v>8</v>
      </c>
      <c r="B2" s="1">
        <v>2013</v>
      </c>
      <c r="C2" s="1">
        <v>1</v>
      </c>
      <c r="D2" s="9">
        <v>66</v>
      </c>
      <c r="E2" s="1">
        <v>4.25</v>
      </c>
      <c r="F2" s="2">
        <v>167</v>
      </c>
      <c r="G2" s="1">
        <v>3</v>
      </c>
      <c r="H2" s="1">
        <v>4</v>
      </c>
      <c r="I2" s="2">
        <v>13</v>
      </c>
      <c r="J2" s="3">
        <v>21</v>
      </c>
      <c r="K2" s="3">
        <v>3</v>
      </c>
      <c r="L2" s="2">
        <v>6</v>
      </c>
      <c r="M2" s="3">
        <v>4</v>
      </c>
      <c r="N2" s="3">
        <v>6</v>
      </c>
      <c r="O2" s="3">
        <v>5</v>
      </c>
      <c r="P2" s="3">
        <v>10</v>
      </c>
      <c r="Q2" s="6" t="s">
        <v>18</v>
      </c>
      <c r="R2" s="1">
        <f>AVERAGEIF(A:A, "英一", D:D)</f>
        <v>76.192307692307693</v>
      </c>
      <c r="S2" s="1">
        <f>AVERAGEIF(A:A, "英二", D:D)</f>
        <v>78</v>
      </c>
    </row>
    <row r="3" spans="1:19" ht="15" x14ac:dyDescent="0.3">
      <c r="A3" s="8" t="s">
        <v>8</v>
      </c>
      <c r="B3" s="1">
        <v>2014</v>
      </c>
      <c r="C3" s="1">
        <v>1</v>
      </c>
      <c r="D3" s="9">
        <v>70.5</v>
      </c>
      <c r="E3" s="1">
        <v>6.8</v>
      </c>
      <c r="F3" s="2">
        <v>165</v>
      </c>
      <c r="G3" s="1">
        <v>3</v>
      </c>
      <c r="H3" s="1">
        <v>3</v>
      </c>
      <c r="I3" s="2">
        <v>12.5</v>
      </c>
      <c r="J3" s="2">
        <v>17</v>
      </c>
      <c r="K3" s="4">
        <v>0.5</v>
      </c>
      <c r="L3" s="3">
        <v>12</v>
      </c>
      <c r="M3" s="4">
        <v>0</v>
      </c>
      <c r="N3" s="2">
        <v>3</v>
      </c>
      <c r="O3" s="3">
        <v>5</v>
      </c>
      <c r="P3" s="2">
        <v>9</v>
      </c>
      <c r="Q3" s="6" t="s">
        <v>19</v>
      </c>
    </row>
    <row r="4" spans="1:19" ht="15" x14ac:dyDescent="0.3">
      <c r="A4" s="8" t="s">
        <v>8</v>
      </c>
      <c r="B4" s="1">
        <v>2015</v>
      </c>
      <c r="C4" s="1">
        <v>1</v>
      </c>
      <c r="D4" s="10">
        <v>78</v>
      </c>
      <c r="E4" s="1">
        <v>6.28</v>
      </c>
      <c r="F4" s="2">
        <v>171</v>
      </c>
      <c r="G4" s="1">
        <v>3</v>
      </c>
      <c r="H4" s="3">
        <v>2</v>
      </c>
      <c r="I4" s="2">
        <v>6</v>
      </c>
      <c r="J4" s="2">
        <v>16</v>
      </c>
      <c r="K4" s="2">
        <v>2</v>
      </c>
      <c r="L4" s="4">
        <v>2</v>
      </c>
      <c r="M4" s="2">
        <v>2</v>
      </c>
      <c r="N4" s="2">
        <v>3</v>
      </c>
      <c r="O4" s="2">
        <v>4</v>
      </c>
      <c r="P4" s="2">
        <v>9</v>
      </c>
      <c r="Q4" s="6" t="s">
        <v>20</v>
      </c>
    </row>
    <row r="5" spans="1:19" ht="15" x14ac:dyDescent="0.3">
      <c r="A5" s="8" t="s">
        <v>31</v>
      </c>
      <c r="B5" s="1">
        <v>2021</v>
      </c>
      <c r="C5" s="1">
        <v>1</v>
      </c>
      <c r="D5" s="10">
        <v>76</v>
      </c>
      <c r="E5" s="5" t="s">
        <v>22</v>
      </c>
      <c r="F5" s="2">
        <v>175</v>
      </c>
      <c r="G5" s="1">
        <v>3</v>
      </c>
      <c r="H5" s="1">
        <v>3</v>
      </c>
      <c r="I5" s="2">
        <v>6</v>
      </c>
      <c r="J5" s="3">
        <v>18</v>
      </c>
      <c r="K5" s="4">
        <v>0</v>
      </c>
      <c r="L5" s="2">
        <v>6</v>
      </c>
      <c r="M5" s="4">
        <v>0</v>
      </c>
      <c r="N5" s="3">
        <v>4</v>
      </c>
      <c r="O5" s="3">
        <v>5</v>
      </c>
      <c r="P5" s="2">
        <v>9</v>
      </c>
      <c r="Q5" s="6" t="s">
        <v>23</v>
      </c>
    </row>
    <row r="6" spans="1:19" ht="15" x14ac:dyDescent="0.3">
      <c r="A6" s="8" t="s">
        <v>24</v>
      </c>
      <c r="B6" s="1">
        <v>2022</v>
      </c>
      <c r="C6" s="1">
        <v>1</v>
      </c>
      <c r="D6" s="10">
        <v>76.5</v>
      </c>
      <c r="E6" s="1">
        <v>8.8000000000000007</v>
      </c>
      <c r="F6" s="2">
        <v>169</v>
      </c>
      <c r="G6" s="1">
        <v>2</v>
      </c>
      <c r="H6" s="1">
        <v>2</v>
      </c>
      <c r="I6" s="2">
        <v>6.5</v>
      </c>
      <c r="J6" s="2">
        <v>17</v>
      </c>
      <c r="K6" s="4">
        <v>0.5</v>
      </c>
      <c r="L6" s="2">
        <v>6</v>
      </c>
      <c r="M6" s="4">
        <v>0</v>
      </c>
      <c r="N6" s="3">
        <v>4</v>
      </c>
      <c r="O6" s="2">
        <v>4</v>
      </c>
      <c r="P6" s="2">
        <v>9</v>
      </c>
      <c r="Q6" s="6" t="s">
        <v>25</v>
      </c>
    </row>
    <row r="7" spans="1:19" ht="15" x14ac:dyDescent="0.3">
      <c r="A7" s="1" t="s">
        <v>26</v>
      </c>
      <c r="B7" s="1">
        <v>2025</v>
      </c>
      <c r="C7" s="1">
        <v>1</v>
      </c>
      <c r="D7" s="10">
        <v>75</v>
      </c>
      <c r="E7" s="1">
        <v>9.1300000000000008</v>
      </c>
      <c r="F7" s="1">
        <v>145</v>
      </c>
      <c r="G7" s="1">
        <v>2</v>
      </c>
      <c r="H7" s="1">
        <v>3</v>
      </c>
      <c r="I7" s="2">
        <v>8.5</v>
      </c>
      <c r="J7" s="2">
        <v>16.5</v>
      </c>
      <c r="K7" s="3">
        <v>2.5</v>
      </c>
      <c r="L7" s="2">
        <v>6</v>
      </c>
      <c r="M7" s="4">
        <v>0</v>
      </c>
      <c r="N7" s="3">
        <v>3.5</v>
      </c>
      <c r="O7" s="2">
        <v>5</v>
      </c>
      <c r="P7" s="2">
        <v>8</v>
      </c>
      <c r="Q7" s="6" t="s">
        <v>27</v>
      </c>
    </row>
    <row r="8" spans="1:19" ht="15" x14ac:dyDescent="0.3">
      <c r="A8" s="1" t="s">
        <v>28</v>
      </c>
      <c r="B8" s="1">
        <v>2010</v>
      </c>
      <c r="C8" s="1">
        <v>1</v>
      </c>
      <c r="D8" s="9">
        <v>74</v>
      </c>
      <c r="E8" s="1">
        <v>9.19</v>
      </c>
      <c r="F8" s="1">
        <v>128</v>
      </c>
      <c r="G8" s="1">
        <v>4</v>
      </c>
      <c r="H8" s="1">
        <v>3</v>
      </c>
      <c r="I8" s="2">
        <v>10</v>
      </c>
      <c r="J8" s="2">
        <v>16</v>
      </c>
      <c r="K8" s="2">
        <v>2</v>
      </c>
      <c r="L8" s="3">
        <v>8</v>
      </c>
      <c r="M8" s="4">
        <v>0</v>
      </c>
      <c r="N8" s="2">
        <v>3</v>
      </c>
      <c r="O8" s="2">
        <v>4</v>
      </c>
      <c r="P8" s="2">
        <v>9</v>
      </c>
      <c r="Q8" s="6" t="s">
        <v>29</v>
      </c>
    </row>
    <row r="9" spans="1:19" ht="15" x14ac:dyDescent="0.3">
      <c r="A9" s="8" t="s">
        <v>8</v>
      </c>
      <c r="B9" s="1">
        <v>2016</v>
      </c>
      <c r="C9" s="1">
        <v>1</v>
      </c>
      <c r="D9" s="11">
        <v>80.5</v>
      </c>
      <c r="E9" s="1">
        <v>9.23</v>
      </c>
      <c r="F9" s="2">
        <v>172</v>
      </c>
      <c r="G9" s="1">
        <v>2</v>
      </c>
      <c r="H9" s="1">
        <v>4</v>
      </c>
      <c r="I9" s="4">
        <v>5</v>
      </c>
      <c r="J9" s="2">
        <v>14.5</v>
      </c>
      <c r="K9" s="2">
        <v>1</v>
      </c>
      <c r="L9" s="4">
        <v>2</v>
      </c>
      <c r="M9" s="2">
        <v>2</v>
      </c>
      <c r="N9" s="2">
        <v>2.5</v>
      </c>
      <c r="O9" s="2">
        <v>4</v>
      </c>
      <c r="P9" s="2">
        <v>8</v>
      </c>
      <c r="Q9" s="6" t="s">
        <v>30</v>
      </c>
    </row>
    <row r="10" spans="1:19" ht="15" x14ac:dyDescent="0.3">
      <c r="A10" s="8" t="s">
        <v>21</v>
      </c>
      <c r="B10" s="1">
        <v>2023</v>
      </c>
      <c r="C10" s="1">
        <v>1</v>
      </c>
      <c r="D10" s="10">
        <v>77</v>
      </c>
      <c r="E10" s="1">
        <v>9.26</v>
      </c>
      <c r="F10" s="1">
        <v>176</v>
      </c>
      <c r="G10" s="1">
        <v>3</v>
      </c>
      <c r="H10" s="1">
        <v>3</v>
      </c>
      <c r="I10" s="2">
        <v>6.5</v>
      </c>
      <c r="J10" s="2">
        <v>16.5</v>
      </c>
      <c r="K10" s="4">
        <v>0.5</v>
      </c>
      <c r="L10" s="2">
        <v>6</v>
      </c>
      <c r="M10" s="4">
        <v>0</v>
      </c>
      <c r="N10" s="2">
        <v>2.5</v>
      </c>
      <c r="O10" s="2">
        <v>5</v>
      </c>
      <c r="P10" s="2">
        <v>9</v>
      </c>
      <c r="Q10" s="6" t="s">
        <v>32</v>
      </c>
    </row>
    <row r="11" spans="1:19" ht="15" x14ac:dyDescent="0.3">
      <c r="A11" s="1" t="s">
        <v>33</v>
      </c>
      <c r="B11" s="1">
        <v>2020</v>
      </c>
      <c r="C11" s="1">
        <v>1</v>
      </c>
      <c r="D11" s="11">
        <v>82.5</v>
      </c>
      <c r="E11" s="1">
        <v>10.6</v>
      </c>
      <c r="F11" s="1">
        <v>137</v>
      </c>
      <c r="G11" s="1">
        <v>2</v>
      </c>
      <c r="H11" s="1">
        <v>4</v>
      </c>
      <c r="I11" s="4">
        <v>3</v>
      </c>
      <c r="J11" s="2">
        <v>14.5</v>
      </c>
      <c r="K11" s="3">
        <v>3</v>
      </c>
      <c r="L11" s="4">
        <v>0</v>
      </c>
      <c r="M11" s="4">
        <v>0</v>
      </c>
      <c r="N11" s="4">
        <v>1.5</v>
      </c>
      <c r="O11" s="2">
        <v>4</v>
      </c>
      <c r="P11" s="2">
        <v>9</v>
      </c>
      <c r="Q11" s="6" t="s">
        <v>34</v>
      </c>
    </row>
    <row r="12" spans="1:19" ht="15" x14ac:dyDescent="0.3">
      <c r="A12" s="8" t="s">
        <v>8</v>
      </c>
      <c r="B12" s="1">
        <v>2017</v>
      </c>
      <c r="C12" s="1">
        <v>1</v>
      </c>
      <c r="D12" s="11">
        <v>82.5</v>
      </c>
      <c r="E12" s="1">
        <v>10.11</v>
      </c>
      <c r="F12" s="2">
        <v>165</v>
      </c>
      <c r="G12" s="1">
        <v>3</v>
      </c>
      <c r="H12" s="1">
        <v>3</v>
      </c>
      <c r="I12" s="4">
        <v>4.5</v>
      </c>
      <c r="J12" s="2">
        <v>13</v>
      </c>
      <c r="K12" s="4">
        <v>0.5</v>
      </c>
      <c r="L12" s="2">
        <v>4</v>
      </c>
      <c r="M12" s="4">
        <v>0</v>
      </c>
      <c r="N12" s="3">
        <v>4</v>
      </c>
      <c r="O12" s="4">
        <v>3</v>
      </c>
      <c r="P12" s="4">
        <v>6</v>
      </c>
      <c r="Q12" s="6" t="s">
        <v>36</v>
      </c>
    </row>
    <row r="13" spans="1:19" ht="15" x14ac:dyDescent="0.3">
      <c r="A13" s="1" t="s">
        <v>35</v>
      </c>
      <c r="B13" s="1">
        <v>2019</v>
      </c>
      <c r="C13" s="1">
        <v>1</v>
      </c>
      <c r="D13" s="11">
        <v>81</v>
      </c>
      <c r="E13" s="1">
        <v>10.14</v>
      </c>
      <c r="F13" s="1">
        <v>134</v>
      </c>
      <c r="G13" s="1">
        <v>2</v>
      </c>
      <c r="H13" s="1">
        <v>4</v>
      </c>
      <c r="I13" s="4">
        <v>3</v>
      </c>
      <c r="J13" s="2">
        <v>16</v>
      </c>
      <c r="K13" s="2">
        <v>1</v>
      </c>
      <c r="L13" s="4">
        <v>2</v>
      </c>
      <c r="M13" s="4">
        <v>0</v>
      </c>
      <c r="N13" s="2">
        <v>2</v>
      </c>
      <c r="O13" s="2">
        <v>5</v>
      </c>
      <c r="P13" s="2">
        <v>9</v>
      </c>
      <c r="Q13" s="6" t="s">
        <v>37</v>
      </c>
    </row>
    <row r="14" spans="1:19" ht="15" x14ac:dyDescent="0.3">
      <c r="A14" s="8" t="s">
        <v>39</v>
      </c>
      <c r="B14" s="1">
        <v>2018</v>
      </c>
      <c r="C14" s="1">
        <v>1</v>
      </c>
      <c r="D14" s="9">
        <v>70</v>
      </c>
      <c r="E14" s="1">
        <v>10.210000000000001</v>
      </c>
      <c r="F14" s="1">
        <v>155</v>
      </c>
      <c r="G14" s="1">
        <v>4</v>
      </c>
      <c r="H14" s="1">
        <v>3</v>
      </c>
      <c r="I14" s="3">
        <v>15</v>
      </c>
      <c r="J14" s="2">
        <v>15</v>
      </c>
      <c r="K14" s="2">
        <v>1</v>
      </c>
      <c r="L14" s="2">
        <v>6</v>
      </c>
      <c r="M14" s="3">
        <v>8</v>
      </c>
      <c r="N14" s="3">
        <v>4</v>
      </c>
      <c r="O14" s="2">
        <v>4</v>
      </c>
      <c r="P14" s="2">
        <v>7</v>
      </c>
      <c r="Q14" s="6" t="s">
        <v>38</v>
      </c>
    </row>
    <row r="15" spans="1:19" ht="15" x14ac:dyDescent="0.3">
      <c r="A15" s="8" t="s">
        <v>40</v>
      </c>
      <c r="B15" s="1">
        <v>2019</v>
      </c>
      <c r="C15" s="1">
        <v>1</v>
      </c>
      <c r="D15" s="11">
        <v>83</v>
      </c>
      <c r="E15" s="1">
        <v>10.24</v>
      </c>
      <c r="F15" s="1">
        <v>143</v>
      </c>
      <c r="G15" s="1">
        <v>2</v>
      </c>
      <c r="H15" s="1">
        <v>4</v>
      </c>
      <c r="I15" s="4">
        <v>3</v>
      </c>
      <c r="J15" s="2">
        <v>14</v>
      </c>
      <c r="K15" s="2">
        <v>1</v>
      </c>
      <c r="L15" s="4">
        <v>2</v>
      </c>
      <c r="M15" s="4">
        <v>0</v>
      </c>
      <c r="N15" s="2">
        <v>3</v>
      </c>
      <c r="O15" s="2">
        <v>5</v>
      </c>
      <c r="P15" s="4">
        <v>6</v>
      </c>
      <c r="Q15" s="6" t="s">
        <v>44</v>
      </c>
    </row>
    <row r="16" spans="1:19" ht="15" x14ac:dyDescent="0.3">
      <c r="A16" s="8" t="s">
        <v>8</v>
      </c>
      <c r="B16" s="1">
        <v>2020</v>
      </c>
      <c r="C16" s="1">
        <v>1</v>
      </c>
      <c r="D16" s="11">
        <v>86.5</v>
      </c>
      <c r="E16" s="1">
        <v>10.27</v>
      </c>
      <c r="F16" s="1">
        <v>156</v>
      </c>
      <c r="G16" s="1">
        <v>2</v>
      </c>
      <c r="H16" s="1">
        <v>4</v>
      </c>
      <c r="I16" s="4">
        <v>1</v>
      </c>
      <c r="J16" s="2">
        <v>12.5</v>
      </c>
      <c r="K16" s="2">
        <v>1</v>
      </c>
      <c r="L16" s="4">
        <v>0</v>
      </c>
      <c r="M16" s="4">
        <v>0</v>
      </c>
      <c r="N16" s="2">
        <v>2.5</v>
      </c>
      <c r="O16" s="2">
        <v>4</v>
      </c>
      <c r="P16" s="4">
        <v>6</v>
      </c>
      <c r="Q16" s="6" t="s">
        <v>43</v>
      </c>
    </row>
    <row r="17" spans="1:17" ht="15" x14ac:dyDescent="0.3">
      <c r="A17" s="8" t="s">
        <v>8</v>
      </c>
      <c r="B17" s="1">
        <v>2024</v>
      </c>
      <c r="C17" s="1">
        <v>1</v>
      </c>
      <c r="D17" s="11">
        <v>82</v>
      </c>
      <c r="E17" s="1">
        <v>10.31</v>
      </c>
      <c r="F17" s="1">
        <v>175</v>
      </c>
      <c r="G17" s="1">
        <v>3</v>
      </c>
      <c r="H17" s="1">
        <v>5</v>
      </c>
      <c r="I17" s="4">
        <v>5</v>
      </c>
      <c r="J17" s="2">
        <v>13</v>
      </c>
      <c r="K17" s="2">
        <v>1</v>
      </c>
      <c r="L17" s="2">
        <v>4</v>
      </c>
      <c r="M17" s="4">
        <v>0</v>
      </c>
      <c r="N17" s="2">
        <v>3</v>
      </c>
      <c r="O17" s="2">
        <v>4</v>
      </c>
      <c r="P17" s="4">
        <v>6</v>
      </c>
      <c r="Q17" s="6" t="s">
        <v>45</v>
      </c>
    </row>
    <row r="18" spans="1:17" ht="15" x14ac:dyDescent="0.3">
      <c r="A18" s="1" t="s">
        <v>46</v>
      </c>
      <c r="B18" s="1">
        <v>2017</v>
      </c>
      <c r="C18" s="1">
        <v>1</v>
      </c>
      <c r="D18" s="10">
        <v>78</v>
      </c>
      <c r="E18" s="1">
        <v>11.9</v>
      </c>
      <c r="F18" s="1">
        <v>108</v>
      </c>
      <c r="G18" s="1">
        <v>3</v>
      </c>
      <c r="H18" s="1">
        <v>4</v>
      </c>
      <c r="I18" s="2">
        <v>5.5</v>
      </c>
      <c r="J18" s="1">
        <v>16.5</v>
      </c>
      <c r="K18" s="1">
        <v>1.5</v>
      </c>
      <c r="L18" s="1">
        <v>4</v>
      </c>
      <c r="M18" s="1">
        <v>0</v>
      </c>
      <c r="N18" s="1">
        <v>1.5</v>
      </c>
      <c r="O18" s="1">
        <v>5</v>
      </c>
      <c r="P18" s="1">
        <v>10</v>
      </c>
      <c r="Q18" s="6" t="s">
        <v>47</v>
      </c>
    </row>
    <row r="19" spans="1:17" ht="15" x14ac:dyDescent="0.3">
      <c r="A19" s="1" t="s">
        <v>48</v>
      </c>
      <c r="B19" s="1">
        <v>2016</v>
      </c>
      <c r="C19" s="1">
        <v>1</v>
      </c>
      <c r="D19" s="10">
        <v>74.5</v>
      </c>
      <c r="E19" s="1">
        <v>11.17</v>
      </c>
      <c r="F19" s="1">
        <v>115</v>
      </c>
      <c r="G19" s="1">
        <v>3</v>
      </c>
      <c r="H19" s="1">
        <v>3</v>
      </c>
      <c r="I19" s="2">
        <v>8.5</v>
      </c>
      <c r="J19" s="1">
        <v>17</v>
      </c>
      <c r="K19" s="1">
        <v>0.5</v>
      </c>
      <c r="L19" s="1">
        <v>8</v>
      </c>
      <c r="M19" s="1">
        <v>0</v>
      </c>
      <c r="N19" s="1">
        <v>2</v>
      </c>
      <c r="O19" s="1">
        <v>5</v>
      </c>
      <c r="P19" s="1">
        <v>10</v>
      </c>
      <c r="Q19" s="6" t="s">
        <v>49</v>
      </c>
    </row>
    <row r="20" spans="1:17" ht="15" x14ac:dyDescent="0.3">
      <c r="A20" s="8" t="s">
        <v>8</v>
      </c>
      <c r="B20" s="1">
        <v>2010</v>
      </c>
      <c r="C20" s="1">
        <v>1</v>
      </c>
      <c r="D20" s="9">
        <v>62</v>
      </c>
      <c r="E20" s="1">
        <v>11.24</v>
      </c>
      <c r="F20" s="1">
        <v>156</v>
      </c>
      <c r="G20" s="1">
        <v>5</v>
      </c>
      <c r="H20" s="1">
        <v>3</v>
      </c>
      <c r="I20" s="3">
        <v>21.5</v>
      </c>
      <c r="J20" s="1">
        <v>16.5</v>
      </c>
      <c r="K20" s="1">
        <v>1.5</v>
      </c>
      <c r="L20" s="1">
        <v>12</v>
      </c>
      <c r="M20" s="1">
        <v>8</v>
      </c>
      <c r="N20" s="1">
        <v>2.5</v>
      </c>
      <c r="O20" s="1">
        <v>5</v>
      </c>
      <c r="P20" s="1">
        <v>9</v>
      </c>
      <c r="Q20" s="6" t="s">
        <v>50</v>
      </c>
    </row>
    <row r="21" spans="1:17" ht="15" x14ac:dyDescent="0.3">
      <c r="D21" s="12"/>
      <c r="Q21" s="6"/>
    </row>
    <row r="22" spans="1:17" ht="15" x14ac:dyDescent="0.3">
      <c r="D22" s="12"/>
      <c r="Q22" s="6"/>
    </row>
    <row r="23" spans="1:17" ht="15" x14ac:dyDescent="0.3">
      <c r="D23" s="12"/>
      <c r="Q23" s="6"/>
    </row>
    <row r="24" spans="1:17" ht="15" x14ac:dyDescent="0.3">
      <c r="D24" s="12"/>
      <c r="Q24" s="6"/>
    </row>
    <row r="25" spans="1:17" ht="15" x14ac:dyDescent="0.3">
      <c r="D25" s="12"/>
      <c r="Q25" s="6"/>
    </row>
    <row r="26" spans="1:17" ht="15" x14ac:dyDescent="0.3">
      <c r="D26" s="1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2025-11-25T04:46:33Z</dcterms:modified>
</cp:coreProperties>
</file>