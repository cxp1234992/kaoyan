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Sheet1" sheetId="1" r:id="rId1"/>
  </sheets>
  <calcPr calcId="162913"/>
</workbook>
</file>

<file path=xl/calcChain.xml><?xml version="1.0" encoding="utf-8"?>
<calcChain xmlns="http://schemas.openxmlformats.org/spreadsheetml/2006/main">
  <c r="AA2" i="1" l="1"/>
  <c r="Z2" i="1"/>
  <c r="Y2" i="1"/>
  <c r="X2" i="1"/>
  <c r="V2" i="1"/>
  <c r="W2" i="1" l="1"/>
  <c r="U2" i="1"/>
</calcChain>
</file>

<file path=xl/sharedStrings.xml><?xml version="1.0" encoding="utf-8"?>
<sst xmlns="http://schemas.openxmlformats.org/spreadsheetml/2006/main" count="367" uniqueCount="335">
  <si>
    <t>作者</t>
    <phoneticPr fontId="1" type="noConversion"/>
  </si>
  <si>
    <t>年份</t>
    <phoneticPr fontId="1" type="noConversion"/>
  </si>
  <si>
    <t>次数</t>
    <phoneticPr fontId="1" type="noConversion"/>
  </si>
  <si>
    <t>总分</t>
    <phoneticPr fontId="1" type="noConversion"/>
  </si>
  <si>
    <t>概率</t>
    <phoneticPr fontId="1" type="noConversion"/>
  </si>
  <si>
    <t>选择</t>
    <phoneticPr fontId="1" type="noConversion"/>
  </si>
  <si>
    <t>填空</t>
    <phoneticPr fontId="1" type="noConversion"/>
  </si>
  <si>
    <t>大题</t>
    <phoneticPr fontId="1" type="noConversion"/>
  </si>
  <si>
    <t>高数</t>
    <phoneticPr fontId="1" type="noConversion"/>
  </si>
  <si>
    <t>线代</t>
    <phoneticPr fontId="1" type="noConversion"/>
  </si>
  <si>
    <t>日期</t>
    <phoneticPr fontId="1" type="noConversion"/>
  </si>
  <si>
    <t>时间</t>
    <phoneticPr fontId="1" type="noConversion"/>
  </si>
  <si>
    <t>难度</t>
    <phoneticPr fontId="1" type="noConversion"/>
  </si>
  <si>
    <t>状态</t>
    <phoneticPr fontId="1" type="noConversion"/>
  </si>
  <si>
    <t>失误</t>
    <phoneticPr fontId="1" type="noConversion"/>
  </si>
  <si>
    <t>不会</t>
    <phoneticPr fontId="1" type="noConversion"/>
  </si>
  <si>
    <t>新题</t>
    <phoneticPr fontId="1" type="noConversion"/>
  </si>
  <si>
    <t>难题</t>
    <phoneticPr fontId="1" type="noConversion"/>
  </si>
  <si>
    <t>失分板块</t>
    <phoneticPr fontId="1" type="noConversion"/>
  </si>
  <si>
    <t>备注</t>
    <phoneticPr fontId="1" type="noConversion"/>
  </si>
  <si>
    <t>空间曲线积分</t>
    <phoneticPr fontId="1" type="noConversion"/>
  </si>
  <si>
    <t>余炳森5套-3</t>
    <phoneticPr fontId="1" type="noConversion"/>
  </si>
  <si>
    <t>余炳森5套-4</t>
    <phoneticPr fontId="1" type="noConversion"/>
  </si>
  <si>
    <t>数理统计</t>
    <phoneticPr fontId="1" type="noConversion"/>
  </si>
  <si>
    <t>余炳森5套-5</t>
    <phoneticPr fontId="1" type="noConversion"/>
  </si>
  <si>
    <t>概念题</t>
    <phoneticPr fontId="1" type="noConversion"/>
  </si>
  <si>
    <t>汤家凤5套-1</t>
    <phoneticPr fontId="1" type="noConversion"/>
  </si>
  <si>
    <t>数理统计</t>
    <phoneticPr fontId="1" type="noConversion"/>
  </si>
  <si>
    <t>汤家凤5套-2</t>
    <phoneticPr fontId="1" type="noConversion"/>
  </si>
  <si>
    <t>中值定理，曲面积分</t>
    <phoneticPr fontId="1" type="noConversion"/>
  </si>
  <si>
    <t>汤家凤5套-3</t>
    <phoneticPr fontId="1" type="noConversion"/>
  </si>
  <si>
    <t>二重积分</t>
    <phoneticPr fontId="1" type="noConversion"/>
  </si>
  <si>
    <t>积分</t>
    <phoneticPr fontId="1" type="noConversion"/>
  </si>
  <si>
    <t>曲面积分</t>
    <phoneticPr fontId="1" type="noConversion"/>
  </si>
  <si>
    <t>汤家凤5套-4</t>
    <phoneticPr fontId="1" type="noConversion"/>
  </si>
  <si>
    <t>汤家凤5套-5</t>
    <phoneticPr fontId="1" type="noConversion"/>
  </si>
  <si>
    <t>李王武6套-1</t>
    <phoneticPr fontId="1" type="noConversion"/>
  </si>
  <si>
    <t>李王武6套-2</t>
    <phoneticPr fontId="1" type="noConversion"/>
  </si>
  <si>
    <t>一元积分</t>
    <phoneticPr fontId="1" type="noConversion"/>
  </si>
  <si>
    <t>李王武6套-3</t>
    <phoneticPr fontId="1" type="noConversion"/>
  </si>
  <si>
    <t>李王武6套-4</t>
    <phoneticPr fontId="1" type="noConversion"/>
  </si>
  <si>
    <t>div</t>
    <phoneticPr fontId="1" type="noConversion"/>
  </si>
  <si>
    <t>DX</t>
    <phoneticPr fontId="1" type="noConversion"/>
  </si>
  <si>
    <t>脑瘫</t>
    <phoneticPr fontId="1" type="noConversion"/>
  </si>
  <si>
    <t>超越-1</t>
    <phoneticPr fontId="1" type="noConversion"/>
  </si>
  <si>
    <t>细节</t>
    <phoneticPr fontId="1" type="noConversion"/>
  </si>
  <si>
    <t>无穷级数</t>
    <phoneticPr fontId="1" type="noConversion"/>
  </si>
  <si>
    <t>李王武6套-6</t>
    <phoneticPr fontId="1" type="noConversion"/>
  </si>
  <si>
    <t>6.30</t>
    <phoneticPr fontId="1" type="noConversion"/>
  </si>
  <si>
    <t>合同相似，敛散性</t>
    <phoneticPr fontId="1" type="noConversion"/>
  </si>
  <si>
    <t>新东方5套-1</t>
    <phoneticPr fontId="1" type="noConversion"/>
  </si>
  <si>
    <t>7.1</t>
    <phoneticPr fontId="1" type="noConversion"/>
  </si>
  <si>
    <t>敛散性，形心</t>
    <phoneticPr fontId="1" type="noConversion"/>
  </si>
  <si>
    <t>数一</t>
    <phoneticPr fontId="1" type="noConversion"/>
  </si>
  <si>
    <t>7.10</t>
    <phoneticPr fontId="1" type="noConversion"/>
  </si>
  <si>
    <t>中值定理</t>
    <phoneticPr fontId="1" type="noConversion"/>
  </si>
  <si>
    <t>EX,切比雪夫</t>
    <phoneticPr fontId="1" type="noConversion"/>
  </si>
  <si>
    <t>秩，中值定理，极大似然</t>
    <phoneticPr fontId="1" type="noConversion"/>
  </si>
  <si>
    <t>行列式，中值定理</t>
    <phoneticPr fontId="1" type="noConversion"/>
  </si>
  <si>
    <t>张宇8套-1</t>
    <phoneticPr fontId="1" type="noConversion"/>
  </si>
  <si>
    <t>李林6套-1</t>
    <phoneticPr fontId="1" type="noConversion"/>
  </si>
  <si>
    <t>多元微分二阶偏导</t>
    <phoneticPr fontId="1" type="noConversion"/>
  </si>
  <si>
    <t>李擂8套-2</t>
    <phoneticPr fontId="1" type="noConversion"/>
  </si>
  <si>
    <t>级数，中值定理，分布函数</t>
    <phoneticPr fontId="1" type="noConversion"/>
  </si>
  <si>
    <t>向量空间，似然函数</t>
    <phoneticPr fontId="1" type="noConversion"/>
  </si>
  <si>
    <t>rot</t>
    <phoneticPr fontId="1" type="noConversion"/>
  </si>
  <si>
    <t>欧几里得-1</t>
    <phoneticPr fontId="1" type="noConversion"/>
  </si>
  <si>
    <t>曲面积分</t>
    <phoneticPr fontId="1" type="noConversion"/>
  </si>
  <si>
    <t>多元最值，逆矩阵</t>
    <phoneticPr fontId="1" type="noConversion"/>
  </si>
  <si>
    <t>李王武6套-5</t>
    <phoneticPr fontId="1" type="noConversion"/>
  </si>
  <si>
    <t>数一</t>
    <phoneticPr fontId="1" type="noConversion"/>
  </si>
  <si>
    <t>李擂8套-1</t>
    <phoneticPr fontId="1" type="noConversion"/>
  </si>
  <si>
    <t>数一</t>
    <phoneticPr fontId="1" type="noConversion"/>
  </si>
  <si>
    <t>欧几里得-2</t>
    <phoneticPr fontId="1" type="noConversion"/>
  </si>
  <si>
    <t>中值定理，多元极值</t>
    <phoneticPr fontId="1" type="noConversion"/>
  </si>
  <si>
    <t>数列极限</t>
    <phoneticPr fontId="1" type="noConversion"/>
  </si>
  <si>
    <t>李王武3套-1</t>
    <phoneticPr fontId="1" type="noConversion"/>
  </si>
  <si>
    <t>汤家凤3套-1</t>
    <phoneticPr fontId="1" type="noConversion"/>
  </si>
  <si>
    <t>中值定理</t>
    <phoneticPr fontId="1" type="noConversion"/>
  </si>
  <si>
    <t>间断点，导数</t>
    <phoneticPr fontId="1" type="noConversion"/>
  </si>
  <si>
    <t>坐标，通解</t>
    <phoneticPr fontId="1" type="noConversion"/>
  </si>
  <si>
    <t>8.30</t>
    <phoneticPr fontId="1" type="noConversion"/>
  </si>
  <si>
    <t>8.31</t>
    <phoneticPr fontId="1" type="noConversion"/>
  </si>
  <si>
    <t>积分，中值定理</t>
    <phoneticPr fontId="1" type="noConversion"/>
  </si>
  <si>
    <t>9.1</t>
    <phoneticPr fontId="1" type="noConversion"/>
  </si>
  <si>
    <t>引力，切平面</t>
    <phoneticPr fontId="1" type="noConversion"/>
  </si>
  <si>
    <t>张宇8套-1</t>
    <phoneticPr fontId="1" type="noConversion"/>
  </si>
  <si>
    <t>9.4</t>
    <phoneticPr fontId="1" type="noConversion"/>
  </si>
  <si>
    <t>二次型+空间几何，Max分布</t>
    <phoneticPr fontId="1" type="noConversion"/>
  </si>
  <si>
    <t>张宇8套-2</t>
    <phoneticPr fontId="1" type="noConversion"/>
  </si>
  <si>
    <t>9.6</t>
    <phoneticPr fontId="1" type="noConversion"/>
  </si>
  <si>
    <t>细节</t>
    <phoneticPr fontId="1" type="noConversion"/>
  </si>
  <si>
    <t>9.7</t>
    <phoneticPr fontId="1" type="noConversion"/>
  </si>
  <si>
    <t>细节</t>
    <phoneticPr fontId="1" type="noConversion"/>
  </si>
  <si>
    <t>细节</t>
    <phoneticPr fontId="1" type="noConversion"/>
  </si>
  <si>
    <t>李擂8套-3</t>
    <phoneticPr fontId="1" type="noConversion"/>
  </si>
  <si>
    <t>超越-2</t>
    <phoneticPr fontId="1" type="noConversion"/>
  </si>
  <si>
    <t>9.8</t>
    <phoneticPr fontId="1" type="noConversion"/>
  </si>
  <si>
    <t>特征值，曲线积分，曲面积分</t>
    <phoneticPr fontId="1" type="noConversion"/>
  </si>
  <si>
    <t>9.10</t>
    <phoneticPr fontId="1" type="noConversion"/>
  </si>
  <si>
    <t>9.9</t>
    <phoneticPr fontId="1" type="noConversion"/>
  </si>
  <si>
    <t>曲面积分，敛散性证明</t>
    <phoneticPr fontId="1" type="noConversion"/>
  </si>
  <si>
    <t>曲面积分</t>
    <phoneticPr fontId="1" type="noConversion"/>
  </si>
  <si>
    <t>超越-3</t>
    <phoneticPr fontId="1" type="noConversion"/>
  </si>
  <si>
    <t>超越-4</t>
    <phoneticPr fontId="1" type="noConversion"/>
  </si>
  <si>
    <t>9.11</t>
    <phoneticPr fontId="1" type="noConversion"/>
  </si>
  <si>
    <t>超越-5</t>
    <phoneticPr fontId="1" type="noConversion"/>
  </si>
  <si>
    <t>9.13</t>
    <phoneticPr fontId="1" type="noConversion"/>
  </si>
  <si>
    <t>抄写</t>
    <phoneticPr fontId="1" type="noConversion"/>
  </si>
  <si>
    <t>9.14</t>
    <phoneticPr fontId="1" type="noConversion"/>
  </si>
  <si>
    <t>选错</t>
    <phoneticPr fontId="1" type="noConversion"/>
  </si>
  <si>
    <t>李艳芳-1</t>
    <phoneticPr fontId="1" type="noConversion"/>
  </si>
  <si>
    <t>9.16</t>
    <phoneticPr fontId="1" type="noConversion"/>
  </si>
  <si>
    <t>曲面积分，微分方程，切比雪夫</t>
    <phoneticPr fontId="1" type="noConversion"/>
  </si>
  <si>
    <t>9.17</t>
    <phoneticPr fontId="1" type="noConversion"/>
  </si>
  <si>
    <t>曲面积分，行列式</t>
    <phoneticPr fontId="1" type="noConversion"/>
  </si>
  <si>
    <t>李艳芳-2</t>
    <phoneticPr fontId="1" type="noConversion"/>
  </si>
  <si>
    <t>9.18</t>
    <phoneticPr fontId="1" type="noConversion"/>
  </si>
  <si>
    <t>偏导连续，级数求和，正交相似</t>
    <phoneticPr fontId="1" type="noConversion"/>
  </si>
  <si>
    <t>李艳芳-3</t>
    <phoneticPr fontId="1" type="noConversion"/>
  </si>
  <si>
    <t>9.19</t>
    <phoneticPr fontId="1" type="noConversion"/>
  </si>
  <si>
    <t>行列式</t>
    <phoneticPr fontId="1" type="noConversion"/>
  </si>
  <si>
    <t>9.20</t>
    <phoneticPr fontId="1" type="noConversion"/>
  </si>
  <si>
    <t>姜晓千-1</t>
    <phoneticPr fontId="1" type="noConversion"/>
  </si>
  <si>
    <t>9.21</t>
    <phoneticPr fontId="1" type="noConversion"/>
  </si>
  <si>
    <t>切比雪夫，分布函数</t>
    <phoneticPr fontId="1" type="noConversion"/>
  </si>
  <si>
    <t>李艳芳-4</t>
    <phoneticPr fontId="1" type="noConversion"/>
  </si>
  <si>
    <t>9.24</t>
    <phoneticPr fontId="1" type="noConversion"/>
  </si>
  <si>
    <t>多元极值，收敛域</t>
    <phoneticPr fontId="1" type="noConversion"/>
  </si>
  <si>
    <t>欧几里得-3</t>
    <phoneticPr fontId="1" type="noConversion"/>
  </si>
  <si>
    <t>10.1</t>
    <phoneticPr fontId="1" type="noConversion"/>
  </si>
  <si>
    <t>无穷级数，合同，秩</t>
    <phoneticPr fontId="1" type="noConversion"/>
  </si>
  <si>
    <t>李王武3套-3</t>
    <phoneticPr fontId="1" type="noConversion"/>
  </si>
  <si>
    <t>李王武3套-2</t>
    <phoneticPr fontId="1" type="noConversion"/>
  </si>
  <si>
    <t>10.4</t>
    <phoneticPr fontId="1" type="noConversion"/>
  </si>
  <si>
    <t>EX存在，三重积分</t>
    <phoneticPr fontId="1" type="noConversion"/>
  </si>
  <si>
    <t>10.7</t>
    <phoneticPr fontId="1" type="noConversion"/>
  </si>
  <si>
    <t>实对称</t>
    <phoneticPr fontId="1" type="noConversion"/>
  </si>
  <si>
    <t>10.6</t>
    <phoneticPr fontId="1" type="noConversion"/>
  </si>
  <si>
    <t>汤家凤3套-2</t>
    <phoneticPr fontId="1" type="noConversion"/>
  </si>
  <si>
    <t>求导</t>
    <phoneticPr fontId="1" type="noConversion"/>
  </si>
  <si>
    <t>10.8</t>
    <phoneticPr fontId="1" type="noConversion"/>
  </si>
  <si>
    <t>arcsin，二重积分</t>
    <phoneticPr fontId="1" type="noConversion"/>
  </si>
  <si>
    <t>9.27</t>
    <phoneticPr fontId="1" type="noConversion"/>
  </si>
  <si>
    <t>姜晓千-3</t>
    <phoneticPr fontId="1" type="noConversion"/>
  </si>
  <si>
    <t>10.11</t>
    <phoneticPr fontId="1" type="noConversion"/>
  </si>
  <si>
    <t>10.13</t>
    <phoneticPr fontId="1" type="noConversion"/>
  </si>
  <si>
    <t>秩，二阶导</t>
    <phoneticPr fontId="1" type="noConversion"/>
  </si>
  <si>
    <t>姜晓千-4</t>
    <phoneticPr fontId="1" type="noConversion"/>
  </si>
  <si>
    <t>张宇8套-3</t>
    <phoneticPr fontId="1" type="noConversion"/>
  </si>
  <si>
    <t>合同，多元极值，级数求和</t>
    <phoneticPr fontId="1" type="noConversion"/>
  </si>
  <si>
    <t>张宇8套-4</t>
    <phoneticPr fontId="1" type="noConversion"/>
  </si>
  <si>
    <t>张宇8套-5</t>
    <phoneticPr fontId="1" type="noConversion"/>
  </si>
  <si>
    <t>姜晓千-2</t>
    <phoneticPr fontId="1" type="noConversion"/>
  </si>
  <si>
    <t>EX²</t>
    <phoneticPr fontId="1" type="noConversion"/>
  </si>
  <si>
    <t>10.14</t>
    <phoneticPr fontId="1" type="noConversion"/>
  </si>
  <si>
    <t>细节</t>
    <phoneticPr fontId="1" type="noConversion"/>
  </si>
  <si>
    <t>曲面积分</t>
    <phoneticPr fontId="1" type="noConversion"/>
  </si>
  <si>
    <t>张宇8套-6</t>
    <phoneticPr fontId="1" type="noConversion"/>
  </si>
  <si>
    <t>曲面积分</t>
    <phoneticPr fontId="1" type="noConversion"/>
  </si>
  <si>
    <t>细节</t>
    <phoneticPr fontId="1" type="noConversion"/>
  </si>
  <si>
    <t>张宇8套-7</t>
    <phoneticPr fontId="1" type="noConversion"/>
  </si>
  <si>
    <t>张宇8套-8</t>
    <phoneticPr fontId="1" type="noConversion"/>
  </si>
  <si>
    <t>无偏估计，三重积分</t>
    <phoneticPr fontId="1" type="noConversion"/>
  </si>
  <si>
    <t>二阶偏导，曲面积分</t>
    <phoneticPr fontId="1" type="noConversion"/>
  </si>
  <si>
    <t>真题均分</t>
    <phoneticPr fontId="1" type="noConversion"/>
  </si>
  <si>
    <t>模拟卷均分</t>
    <phoneticPr fontId="1" type="noConversion"/>
  </si>
  <si>
    <t>整体均分</t>
    <phoneticPr fontId="1" type="noConversion"/>
  </si>
  <si>
    <t>高数线代概率</t>
    <phoneticPr fontId="1" type="noConversion"/>
  </si>
  <si>
    <t>超越-2</t>
    <phoneticPr fontId="1" type="noConversion"/>
  </si>
  <si>
    <t>超越-3</t>
    <phoneticPr fontId="1" type="noConversion"/>
  </si>
  <si>
    <t>超越-4</t>
    <phoneticPr fontId="1" type="noConversion"/>
  </si>
  <si>
    <t>超越-5</t>
    <phoneticPr fontId="1" type="noConversion"/>
  </si>
  <si>
    <t>张八-1</t>
    <phoneticPr fontId="1" type="noConversion"/>
  </si>
  <si>
    <t>张八-2</t>
    <phoneticPr fontId="1" type="noConversion"/>
  </si>
  <si>
    <t>张八-3</t>
    <phoneticPr fontId="1" type="noConversion"/>
  </si>
  <si>
    <t>10.20</t>
    <phoneticPr fontId="1" type="noConversion"/>
  </si>
  <si>
    <t>质心，正定</t>
    <phoneticPr fontId="1" type="noConversion"/>
  </si>
  <si>
    <t>渐近线，DX</t>
    <phoneticPr fontId="1" type="noConversion"/>
  </si>
  <si>
    <t>曲线积分</t>
    <phoneticPr fontId="1" type="noConversion"/>
  </si>
  <si>
    <t>曲面积分，高阶导数</t>
    <phoneticPr fontId="1" type="noConversion"/>
  </si>
  <si>
    <t>曲线积分</t>
    <phoneticPr fontId="1" type="noConversion"/>
  </si>
  <si>
    <t>中值定理</t>
    <phoneticPr fontId="1" type="noConversion"/>
  </si>
  <si>
    <t>选择填空大题</t>
    <phoneticPr fontId="1" type="noConversion"/>
  </si>
  <si>
    <t>中值定理，正定，条件概率</t>
    <phoneticPr fontId="1" type="noConversion"/>
  </si>
  <si>
    <t>张八-5</t>
    <phoneticPr fontId="1" type="noConversion"/>
  </si>
  <si>
    <t>中值定理，经验分布函数</t>
    <phoneticPr fontId="1" type="noConversion"/>
  </si>
  <si>
    <t>曲面积分</t>
    <phoneticPr fontId="1" type="noConversion"/>
  </si>
  <si>
    <t>张八-6</t>
    <phoneticPr fontId="1" type="noConversion"/>
  </si>
  <si>
    <t>曲线积分，极大似然，级数求和</t>
    <phoneticPr fontId="1" type="noConversion"/>
  </si>
  <si>
    <t>张八-7</t>
    <phoneticPr fontId="1" type="noConversion"/>
  </si>
  <si>
    <t>三者之和的分布</t>
    <phoneticPr fontId="1" type="noConversion"/>
  </si>
  <si>
    <t>张八-8</t>
    <phoneticPr fontId="1" type="noConversion"/>
  </si>
  <si>
    <t>10.30</t>
    <phoneticPr fontId="1" type="noConversion"/>
  </si>
  <si>
    <t>基础解系，微分方程</t>
    <phoneticPr fontId="1" type="noConversion"/>
  </si>
  <si>
    <t>曲线积分</t>
    <phoneticPr fontId="1" type="noConversion"/>
  </si>
  <si>
    <t>曲面积分，级数求和，多元微分，微分方程</t>
    <phoneticPr fontId="1" type="noConversion"/>
  </si>
  <si>
    <t>李六-1</t>
    <phoneticPr fontId="1" type="noConversion"/>
  </si>
  <si>
    <t>李六-2</t>
    <phoneticPr fontId="1" type="noConversion"/>
  </si>
  <si>
    <t>初等变换，特征值</t>
    <phoneticPr fontId="1" type="noConversion"/>
  </si>
  <si>
    <t>李六-3</t>
    <phoneticPr fontId="1" type="noConversion"/>
  </si>
  <si>
    <t>中值定理，和函数</t>
    <phoneticPr fontId="1" type="noConversion"/>
  </si>
  <si>
    <t>李六-4</t>
    <phoneticPr fontId="1" type="noConversion"/>
  </si>
  <si>
    <t>秩，中值定理</t>
    <phoneticPr fontId="1" type="noConversion"/>
  </si>
  <si>
    <t>李六-5</t>
    <phoneticPr fontId="1" type="noConversion"/>
  </si>
  <si>
    <t>线性方程的解，中值定理</t>
    <phoneticPr fontId="1" type="noConversion"/>
  </si>
  <si>
    <t>李六-6</t>
    <phoneticPr fontId="1" type="noConversion"/>
  </si>
  <si>
    <t>多元极值，假设检验</t>
    <phoneticPr fontId="1" type="noConversion"/>
  </si>
  <si>
    <r>
      <rPr>
        <sz val="11"/>
        <color theme="1"/>
        <rFont val="宋体"/>
        <family val="2"/>
      </rPr>
      <t>主要是空间曲线积分公式记错了；昨天熬夜今天教室有人鼠标敲敲敲状态不是很好</t>
    </r>
    <phoneticPr fontId="1" type="noConversion"/>
  </si>
  <si>
    <r>
      <rPr>
        <sz val="11"/>
        <color theme="1"/>
        <rFont val="宋体"/>
        <family val="2"/>
      </rPr>
      <t>数理统计那道题其实做过但是仍然不会，然后线代大题的解方程算错了</t>
    </r>
    <phoneticPr fontId="1" type="noConversion"/>
  </si>
  <si>
    <r>
      <rPr>
        <sz val="11"/>
        <color theme="1"/>
        <rFont val="宋体"/>
        <family val="2"/>
      </rPr>
      <t>计算失误</t>
    </r>
    <r>
      <rPr>
        <sz val="11"/>
        <color theme="1"/>
        <rFont val="Times New Roman"/>
        <family val="1"/>
      </rPr>
      <t>5</t>
    </r>
    <r>
      <rPr>
        <sz val="11"/>
        <color theme="1"/>
        <rFont val="宋体"/>
        <family val="2"/>
      </rPr>
      <t>分，线代没代</t>
    </r>
    <r>
      <rPr>
        <sz val="11"/>
        <color theme="1"/>
        <rFont val="Times New Roman"/>
        <family val="1"/>
      </rPr>
      <t>n</t>
    </r>
    <r>
      <rPr>
        <sz val="11"/>
        <color theme="1"/>
        <rFont val="宋体"/>
        <family val="2"/>
      </rPr>
      <t>扣</t>
    </r>
    <r>
      <rPr>
        <sz val="11"/>
        <color theme="1"/>
        <rFont val="Times New Roman"/>
        <family val="1"/>
      </rPr>
      <t>2</t>
    </r>
    <r>
      <rPr>
        <sz val="11"/>
        <color theme="1"/>
        <rFont val="宋体"/>
        <family val="2"/>
      </rPr>
      <t>。中值定理那一题做了挺久还是不会，曲面又忘了奇点</t>
    </r>
    <phoneticPr fontId="1" type="noConversion"/>
  </si>
  <si>
    <r>
      <rPr>
        <sz val="11"/>
        <color theme="1"/>
        <rFont val="宋体"/>
        <family val="2"/>
      </rPr>
      <t>积分丢了</t>
    </r>
    <r>
      <rPr>
        <sz val="11"/>
        <color theme="1"/>
        <rFont val="Times New Roman"/>
        <family val="1"/>
      </rPr>
      <t>21</t>
    </r>
    <r>
      <rPr>
        <sz val="11"/>
        <color theme="1"/>
        <rFont val="宋体"/>
        <family val="2"/>
      </rPr>
      <t>，又是算错又是不会，好好反省！这次是带病完成的，大概不会有更差的状态了</t>
    </r>
    <phoneticPr fontId="1" type="noConversion"/>
  </si>
  <si>
    <r>
      <rPr>
        <sz val="11"/>
        <color theme="1"/>
        <rFont val="宋体"/>
        <family val="2"/>
      </rPr>
      <t>计算失误，把</t>
    </r>
    <r>
      <rPr>
        <sz val="11"/>
        <color theme="1"/>
        <rFont val="Times New Roman"/>
        <family val="1"/>
      </rPr>
      <t>(</t>
    </r>
    <r>
      <rPr>
        <sz val="11"/>
        <color theme="1"/>
        <rFont val="宋体"/>
        <family val="2"/>
      </rPr>
      <t>√</t>
    </r>
    <r>
      <rPr>
        <sz val="11"/>
        <color theme="1"/>
        <rFont val="Times New Roman"/>
        <family val="1"/>
      </rPr>
      <t>2/2)^3</t>
    </r>
    <r>
      <rPr>
        <sz val="11"/>
        <color theme="1"/>
        <rFont val="宋体"/>
        <family val="2"/>
      </rPr>
      <t>写成了√</t>
    </r>
    <r>
      <rPr>
        <sz val="11"/>
        <color theme="1"/>
        <rFont val="Times New Roman"/>
        <family val="1"/>
      </rPr>
      <t>2/8</t>
    </r>
    <phoneticPr fontId="1" type="noConversion"/>
  </si>
  <si>
    <r>
      <rPr>
        <sz val="11"/>
        <color theme="1"/>
        <rFont val="宋体"/>
        <family val="2"/>
      </rPr>
      <t>把题抄错了，思路与过程是对的</t>
    </r>
    <phoneticPr fontId="1" type="noConversion"/>
  </si>
  <si>
    <r>
      <rPr>
        <sz val="11"/>
        <color theme="1"/>
        <rFont val="宋体"/>
        <family val="2"/>
      </rPr>
      <t>曲线积分换成二重的时候忘了椭圆只有一半。一元积分的证明题搞不出来</t>
    </r>
    <phoneticPr fontId="1" type="noConversion"/>
  </si>
  <si>
    <r>
      <t>T17</t>
    </r>
    <r>
      <rPr>
        <sz val="11"/>
        <color theme="1"/>
        <rFont val="宋体"/>
        <family val="2"/>
      </rPr>
      <t>本来是</t>
    </r>
    <r>
      <rPr>
        <sz val="11"/>
        <color theme="1"/>
        <rFont val="Times New Roman"/>
        <family val="1"/>
      </rPr>
      <t>1</t>
    </r>
    <r>
      <rPr>
        <sz val="11"/>
        <color theme="1"/>
        <rFont val="宋体"/>
        <family val="2"/>
      </rPr>
      <t>到</t>
    </r>
    <r>
      <rPr>
        <sz val="11"/>
        <color theme="1"/>
        <rFont val="Times New Roman"/>
        <family val="1"/>
      </rPr>
      <t>4</t>
    </r>
    <r>
      <rPr>
        <sz val="11"/>
        <color theme="1"/>
        <rFont val="宋体"/>
        <family val="2"/>
      </rPr>
      <t>的积分，不知道为什么写成</t>
    </r>
    <r>
      <rPr>
        <sz val="11"/>
        <color theme="1"/>
        <rFont val="Times New Roman"/>
        <family val="1"/>
      </rPr>
      <t>1</t>
    </r>
    <r>
      <rPr>
        <sz val="11"/>
        <color theme="1"/>
        <rFont val="宋体"/>
        <family val="2"/>
      </rPr>
      <t>到</t>
    </r>
    <r>
      <rPr>
        <sz val="11"/>
        <color theme="1"/>
        <rFont val="Times New Roman"/>
        <family val="1"/>
      </rPr>
      <t>3</t>
    </r>
    <r>
      <rPr>
        <sz val="11"/>
        <color theme="1"/>
        <rFont val="宋体"/>
        <family val="2"/>
      </rPr>
      <t>了，我都不知道</t>
    </r>
    <r>
      <rPr>
        <sz val="11"/>
        <color theme="1"/>
        <rFont val="Times New Roman"/>
        <family val="1"/>
      </rPr>
      <t>3</t>
    </r>
    <r>
      <rPr>
        <sz val="11"/>
        <color theme="1"/>
        <rFont val="宋体"/>
        <family val="2"/>
      </rPr>
      <t>哪来的，发神经了。基础仍然有疏漏，</t>
    </r>
    <r>
      <rPr>
        <sz val="11"/>
        <color theme="1"/>
        <rFont val="Times New Roman"/>
        <family val="1"/>
      </rPr>
      <t>T16</t>
    </r>
    <r>
      <rPr>
        <sz val="11"/>
        <color theme="1"/>
        <rFont val="宋体"/>
        <family val="2"/>
      </rPr>
      <t>的</t>
    </r>
    <r>
      <rPr>
        <sz val="11"/>
        <color theme="1"/>
        <rFont val="Times New Roman"/>
        <family val="1"/>
      </rPr>
      <t>S2</t>
    </r>
    <r>
      <rPr>
        <sz val="11"/>
        <color theme="1"/>
        <rFont val="宋体"/>
        <family val="2"/>
      </rPr>
      <t>没看出来是</t>
    </r>
    <r>
      <rPr>
        <sz val="11"/>
        <color theme="1"/>
        <rFont val="Times New Roman"/>
        <family val="1"/>
      </rPr>
      <t>ln</t>
    </r>
    <r>
      <rPr>
        <sz val="11"/>
        <color theme="1"/>
        <rFont val="宋体"/>
        <family val="2"/>
      </rPr>
      <t>，硬算了很久。</t>
    </r>
    <r>
      <rPr>
        <sz val="11"/>
        <color theme="1"/>
        <rFont val="Times New Roman"/>
        <family val="1"/>
      </rPr>
      <t>T17</t>
    </r>
    <r>
      <rPr>
        <sz val="11"/>
        <color theme="1"/>
        <rFont val="宋体"/>
        <family val="2"/>
      </rPr>
      <t>旋转曲面不敢写</t>
    </r>
    <r>
      <rPr>
        <sz val="11"/>
        <color theme="1"/>
        <rFont val="Times New Roman"/>
        <family val="1"/>
      </rPr>
      <t>y²+z²</t>
    </r>
    <r>
      <rPr>
        <sz val="11"/>
        <color theme="1"/>
        <rFont val="宋体"/>
        <family val="2"/>
      </rPr>
      <t>，以为自己记错了。</t>
    </r>
    <phoneticPr fontId="1" type="noConversion"/>
  </si>
  <si>
    <r>
      <rPr>
        <sz val="11"/>
        <color theme="1"/>
        <rFont val="宋体"/>
        <family val="2"/>
      </rPr>
      <t>有一说一高数大题爆炸了，真的不会写。要继续努力了</t>
    </r>
    <phoneticPr fontId="1" type="noConversion"/>
  </si>
  <si>
    <r>
      <rPr>
        <sz val="11"/>
        <color theme="1"/>
        <rFont val="宋体"/>
        <family val="2"/>
      </rPr>
      <t>明明知道</t>
    </r>
    <r>
      <rPr>
        <sz val="11"/>
        <color theme="1"/>
        <rFont val="Times New Roman"/>
        <family val="1"/>
      </rPr>
      <t>div</t>
    </r>
    <r>
      <rPr>
        <sz val="11"/>
        <color theme="1"/>
        <rFont val="宋体"/>
        <family val="2"/>
      </rPr>
      <t>不是</t>
    </r>
    <r>
      <rPr>
        <sz val="11"/>
        <color theme="1"/>
        <rFont val="Times New Roman"/>
        <family val="1"/>
      </rPr>
      <t>grad</t>
    </r>
    <r>
      <rPr>
        <sz val="11"/>
        <color theme="1"/>
        <rFont val="宋体"/>
        <family val="2"/>
      </rPr>
      <t>还硬是当</t>
    </r>
    <r>
      <rPr>
        <sz val="11"/>
        <color theme="1"/>
        <rFont val="Times New Roman"/>
        <family val="1"/>
      </rPr>
      <t>grad</t>
    </r>
    <r>
      <rPr>
        <sz val="11"/>
        <color theme="1"/>
        <rFont val="宋体"/>
        <family val="2"/>
      </rPr>
      <t>算，也是神人了</t>
    </r>
    <phoneticPr fontId="1" type="noConversion"/>
  </si>
  <si>
    <r>
      <t>D(X+Y)</t>
    </r>
    <r>
      <rPr>
        <sz val="11"/>
        <color theme="1"/>
        <rFont val="宋体"/>
        <family val="2"/>
      </rPr>
      <t>≠</t>
    </r>
    <r>
      <rPr>
        <sz val="11"/>
        <color theme="1"/>
        <rFont val="Times New Roman"/>
        <family val="1"/>
      </rPr>
      <t>DX+DY</t>
    </r>
    <r>
      <rPr>
        <sz val="11"/>
        <color theme="1"/>
        <rFont val="宋体"/>
        <family val="2"/>
      </rPr>
      <t>，立即推复习到两点</t>
    </r>
    <phoneticPr fontId="1" type="noConversion"/>
  </si>
  <si>
    <r>
      <rPr>
        <sz val="11"/>
        <color theme="1"/>
        <rFont val="宋体"/>
        <family val="2"/>
      </rPr>
      <t>实对称矩阵的特征向量还能求错，跳过程跳的，想扇自己一百巴掌</t>
    </r>
    <phoneticPr fontId="1" type="noConversion"/>
  </si>
  <si>
    <r>
      <rPr>
        <sz val="11"/>
        <color theme="1"/>
        <rFont val="宋体"/>
        <family val="2"/>
      </rPr>
      <t>终于</t>
    </r>
    <r>
      <rPr>
        <sz val="11"/>
        <color theme="1"/>
        <rFont val="Times New Roman"/>
        <family val="1"/>
      </rPr>
      <t>150</t>
    </r>
    <r>
      <rPr>
        <sz val="11"/>
        <color theme="1"/>
        <rFont val="宋体"/>
        <family val="2"/>
      </rPr>
      <t>了，感谢张宇武忠祥李正元！</t>
    </r>
    <phoneticPr fontId="1" type="noConversion"/>
  </si>
  <si>
    <r>
      <rPr>
        <sz val="11"/>
        <color theme="1"/>
        <rFont val="宋体"/>
        <family val="2"/>
      </rPr>
      <t>第一次做超越，感觉是计算量比较大，思考的话比平时的题目大概多一步。第五题被思维定式搞了（误以为</t>
    </r>
    <r>
      <rPr>
        <sz val="11"/>
        <color theme="1"/>
        <rFont val="Times New Roman"/>
        <family val="1"/>
      </rPr>
      <t>α1,2,3</t>
    </r>
    <r>
      <rPr>
        <sz val="11"/>
        <color theme="1"/>
        <rFont val="宋体"/>
        <family val="2"/>
      </rPr>
      <t>线性无关了）。</t>
    </r>
    <r>
      <rPr>
        <sz val="11"/>
        <color theme="1"/>
        <rFont val="Times New Roman"/>
        <family val="1"/>
      </rPr>
      <t>21</t>
    </r>
    <r>
      <rPr>
        <sz val="11"/>
        <color theme="1"/>
        <rFont val="宋体"/>
        <family val="2"/>
      </rPr>
      <t>题忘了</t>
    </r>
    <r>
      <rPr>
        <sz val="11"/>
        <color theme="1"/>
        <rFont val="Times New Roman"/>
        <family val="1"/>
      </rPr>
      <t>k=0</t>
    </r>
    <r>
      <rPr>
        <sz val="11"/>
        <color theme="1"/>
        <rFont val="宋体"/>
        <family val="2"/>
      </rPr>
      <t>的情况。</t>
    </r>
    <phoneticPr fontId="1" type="noConversion"/>
  </si>
  <si>
    <r>
      <t>T13</t>
    </r>
    <r>
      <rPr>
        <sz val="11"/>
        <color theme="1"/>
        <rFont val="宋体"/>
        <family val="2"/>
      </rPr>
      <t>差点没写出来，还是硬算的；</t>
    </r>
    <r>
      <rPr>
        <sz val="11"/>
        <color theme="1"/>
        <rFont val="Times New Roman"/>
        <family val="1"/>
      </rPr>
      <t>T1</t>
    </r>
    <r>
      <rPr>
        <sz val="11"/>
        <color theme="1"/>
        <rFont val="宋体"/>
        <family val="2"/>
      </rPr>
      <t>差点写错；</t>
    </r>
    <r>
      <rPr>
        <sz val="11"/>
        <color theme="1"/>
        <rFont val="Times New Roman"/>
        <family val="1"/>
      </rPr>
      <t>T21(1)</t>
    </r>
    <r>
      <rPr>
        <sz val="11"/>
        <color theme="1"/>
        <rFont val="宋体"/>
        <family val="2"/>
      </rPr>
      <t>做复杂了一点。本次检查无发现失误</t>
    </r>
    <phoneticPr fontId="1" type="noConversion"/>
  </si>
  <si>
    <r>
      <rPr>
        <sz val="11"/>
        <color theme="1"/>
        <rFont val="宋体"/>
        <family val="2"/>
      </rPr>
      <t>抽象型无穷级数也要先说明收敛域，不然凭什么可以导？</t>
    </r>
    <phoneticPr fontId="1" type="noConversion"/>
  </si>
  <si>
    <r>
      <t>[</t>
    </r>
    <r>
      <rPr>
        <sz val="11"/>
        <color theme="1"/>
        <rFont val="宋体"/>
        <family val="2"/>
      </rPr>
      <t>速刷</t>
    </r>
    <r>
      <rPr>
        <sz val="11"/>
        <color theme="1"/>
        <rFont val="Times New Roman"/>
        <family val="1"/>
      </rPr>
      <t xml:space="preserve">] </t>
    </r>
    <r>
      <rPr>
        <sz val="11"/>
        <color theme="1"/>
        <rFont val="宋体"/>
        <family val="2"/>
      </rPr>
      <t>本次为第一次速刷</t>
    </r>
    <r>
      <rPr>
        <sz val="11"/>
        <color theme="1"/>
        <rFont val="Times New Roman"/>
        <family val="1"/>
      </rPr>
      <t>(</t>
    </r>
    <r>
      <rPr>
        <sz val="11"/>
        <color theme="1"/>
        <rFont val="宋体"/>
        <family val="2"/>
      </rPr>
      <t>为暴露做题中的问题，速刷只追求速度不允许回头检查</t>
    </r>
    <r>
      <rPr>
        <sz val="11"/>
        <color theme="1"/>
        <rFont val="Times New Roman"/>
        <family val="1"/>
      </rPr>
      <t>)</t>
    </r>
    <r>
      <rPr>
        <sz val="11"/>
        <color theme="1"/>
        <rFont val="宋体"/>
        <family val="2"/>
      </rPr>
      <t>。</t>
    </r>
    <r>
      <rPr>
        <sz val="11"/>
        <color theme="1"/>
        <rFont val="Times New Roman"/>
        <family val="1"/>
      </rPr>
      <t xml:space="preserve"> T7</t>
    </r>
    <r>
      <rPr>
        <sz val="11"/>
        <color theme="1"/>
        <rFont val="宋体"/>
        <family val="2"/>
      </rPr>
      <t>不该错，如果仔细判别</t>
    </r>
    <r>
      <rPr>
        <sz val="11"/>
        <color theme="1"/>
        <rFont val="Times New Roman"/>
        <family val="1"/>
      </rPr>
      <t>λ</t>
    </r>
    <r>
      <rPr>
        <sz val="11"/>
        <color theme="1"/>
        <rFont val="宋体"/>
        <family val="2"/>
      </rPr>
      <t>就能搞清楚。</t>
    </r>
    <r>
      <rPr>
        <sz val="11"/>
        <color theme="1"/>
        <rFont val="Times New Roman"/>
        <family val="1"/>
      </rPr>
      <t>19</t>
    </r>
    <r>
      <rPr>
        <sz val="11"/>
        <color theme="1"/>
        <rFont val="宋体"/>
        <family val="2"/>
      </rPr>
      <t>敛散性忘了考虑必须有</t>
    </r>
    <r>
      <rPr>
        <sz val="11"/>
        <color theme="1"/>
        <rFont val="Times New Roman"/>
        <family val="1"/>
      </rPr>
      <t>an=0</t>
    </r>
    <phoneticPr fontId="1" type="noConversion"/>
  </si>
  <si>
    <r>
      <t>[</t>
    </r>
    <r>
      <rPr>
        <sz val="11"/>
        <color theme="1"/>
        <rFont val="宋体"/>
        <family val="2"/>
      </rPr>
      <t>速刷</t>
    </r>
    <r>
      <rPr>
        <sz val="11"/>
        <color theme="1"/>
        <rFont val="Times New Roman"/>
        <family val="1"/>
      </rPr>
      <t xml:space="preserve">] </t>
    </r>
    <r>
      <rPr>
        <sz val="11"/>
        <color theme="1"/>
        <rFont val="宋体"/>
        <family val="2"/>
      </rPr>
      <t>敛散性还有待提高，曲面形心当成空间形心了</t>
    </r>
    <phoneticPr fontId="1" type="noConversion"/>
  </si>
  <si>
    <r>
      <t>T19</t>
    </r>
    <r>
      <rPr>
        <sz val="11"/>
        <color theme="1"/>
        <rFont val="宋体"/>
        <family val="2"/>
      </rPr>
      <t>双数列差点没证明出来，错了</t>
    </r>
    <r>
      <rPr>
        <sz val="11"/>
        <color theme="1"/>
        <rFont val="Times New Roman"/>
        <family val="1"/>
      </rPr>
      <t>T22</t>
    </r>
    <r>
      <rPr>
        <sz val="11"/>
        <color theme="1"/>
        <rFont val="宋体"/>
        <family val="2"/>
      </rPr>
      <t>求</t>
    </r>
    <r>
      <rPr>
        <sz val="11"/>
        <color theme="1"/>
        <rFont val="Times New Roman"/>
        <family val="1"/>
      </rPr>
      <t>EX</t>
    </r>
    <r>
      <rPr>
        <sz val="11"/>
        <color theme="1"/>
        <rFont val="宋体"/>
        <family val="2"/>
      </rPr>
      <t>代成</t>
    </r>
    <r>
      <rPr>
        <sz val="11"/>
        <color theme="1"/>
        <rFont val="Times New Roman"/>
        <family val="1"/>
      </rPr>
      <t>F(x)</t>
    </r>
    <r>
      <rPr>
        <sz val="11"/>
        <color theme="1"/>
        <rFont val="宋体"/>
        <family val="2"/>
      </rPr>
      <t>进去了，</t>
    </r>
    <r>
      <rPr>
        <sz val="11"/>
        <color theme="1"/>
        <rFont val="Times New Roman"/>
        <family val="1"/>
      </rPr>
      <t>T23</t>
    </r>
    <r>
      <rPr>
        <sz val="11"/>
        <color theme="1"/>
        <rFont val="宋体"/>
        <family val="2"/>
      </rPr>
      <t>切比雪夫忘了平方</t>
    </r>
    <phoneticPr fontId="1" type="noConversion"/>
  </si>
  <si>
    <r>
      <rPr>
        <sz val="11"/>
        <color theme="1"/>
        <rFont val="宋体"/>
        <family val="2"/>
      </rPr>
      <t>极有难度且质量高的一套卷子，没有一题送分，新题较多，计算量中等偏上</t>
    </r>
    <phoneticPr fontId="1" type="noConversion"/>
  </si>
  <si>
    <r>
      <rPr>
        <sz val="11"/>
        <color theme="1"/>
        <rFont val="宋体"/>
        <family val="2"/>
      </rPr>
      <t>难度比李擂</t>
    </r>
    <r>
      <rPr>
        <sz val="11"/>
        <color theme="1"/>
        <rFont val="Times New Roman"/>
        <family val="1"/>
      </rPr>
      <t>1</t>
    </r>
    <r>
      <rPr>
        <sz val="11"/>
        <color theme="1"/>
        <rFont val="宋体"/>
        <family val="2"/>
      </rPr>
      <t>小一些，计算量更大一些，有少量创新题，</t>
    </r>
    <r>
      <rPr>
        <sz val="11"/>
        <color theme="1"/>
        <rFont val="Times New Roman"/>
        <family val="1"/>
      </rPr>
      <t>T12</t>
    </r>
    <r>
      <rPr>
        <sz val="11"/>
        <color theme="1"/>
        <rFont val="宋体"/>
        <family val="2"/>
      </rPr>
      <t>积分把</t>
    </r>
    <r>
      <rPr>
        <sz val="11"/>
        <color theme="1"/>
        <rFont val="Times New Roman"/>
        <family val="1"/>
      </rPr>
      <t>ln(x+sqrt(1+x²))</t>
    </r>
    <r>
      <rPr>
        <sz val="11"/>
        <color theme="1"/>
        <rFont val="宋体"/>
        <family val="2"/>
      </rPr>
      <t>和</t>
    </r>
    <r>
      <rPr>
        <sz val="11"/>
        <color theme="1"/>
        <rFont val="Times New Roman"/>
        <family val="1"/>
      </rPr>
      <t>arcsinx</t>
    </r>
    <r>
      <rPr>
        <sz val="11"/>
        <color theme="1"/>
        <rFont val="宋体"/>
        <family val="2"/>
      </rPr>
      <t>的搞混了，</t>
    </r>
    <r>
      <rPr>
        <sz val="11"/>
        <color theme="1"/>
        <rFont val="Times New Roman"/>
        <family val="1"/>
      </rPr>
      <t>T20</t>
    </r>
    <r>
      <rPr>
        <sz val="11"/>
        <color theme="1"/>
        <rFont val="宋体"/>
        <family val="2"/>
      </rPr>
      <t>出的还可以，</t>
    </r>
    <r>
      <rPr>
        <sz val="11"/>
        <color theme="1"/>
        <rFont val="Times New Roman"/>
        <family val="1"/>
      </rPr>
      <t>T21</t>
    </r>
    <r>
      <rPr>
        <sz val="11"/>
        <color theme="1"/>
        <rFont val="宋体"/>
        <family val="2"/>
      </rPr>
      <t>解方程忘了</t>
    </r>
    <r>
      <rPr>
        <sz val="11"/>
        <color theme="1"/>
        <rFont val="Times New Roman"/>
        <family val="1"/>
      </rPr>
      <t>k</t>
    </r>
    <r>
      <rPr>
        <sz val="11"/>
        <color theme="1"/>
        <rFont val="宋体"/>
        <family val="2"/>
      </rPr>
      <t>，</t>
    </r>
    <r>
      <rPr>
        <sz val="11"/>
        <color theme="1"/>
        <rFont val="Times New Roman"/>
        <family val="1"/>
      </rPr>
      <t>T22</t>
    </r>
    <r>
      <rPr>
        <sz val="11"/>
        <color theme="1"/>
        <rFont val="宋体"/>
        <family val="2"/>
      </rPr>
      <t>忘了</t>
    </r>
    <r>
      <rPr>
        <sz val="11"/>
        <color theme="1"/>
        <rFont val="Times New Roman"/>
        <family val="1"/>
      </rPr>
      <t>f(x)=0</t>
    </r>
    <r>
      <rPr>
        <sz val="11"/>
        <color theme="1"/>
        <rFont val="宋体"/>
        <family val="2"/>
      </rPr>
      <t>的部分</t>
    </r>
    <phoneticPr fontId="1" type="noConversion"/>
  </si>
  <si>
    <r>
      <rPr>
        <sz val="11"/>
        <color theme="1"/>
        <rFont val="宋体"/>
        <family val="2"/>
      </rPr>
      <t>这张卷子比李擂</t>
    </r>
    <r>
      <rPr>
        <sz val="11"/>
        <color theme="1"/>
        <rFont val="Times New Roman"/>
        <family val="1"/>
      </rPr>
      <t>1</t>
    </r>
    <r>
      <rPr>
        <sz val="11"/>
        <color theme="1"/>
        <rFont val="宋体"/>
        <family val="2"/>
      </rPr>
      <t>出得更巧妙，刷了部分</t>
    </r>
    <r>
      <rPr>
        <sz val="11"/>
        <color theme="1"/>
        <rFont val="Times New Roman"/>
        <family val="1"/>
      </rPr>
      <t>900</t>
    </r>
    <r>
      <rPr>
        <sz val="11"/>
        <color theme="1"/>
        <rFont val="宋体"/>
        <family val="2"/>
      </rPr>
      <t>后做这个确实没有那么不顺手了，但是时间仍然很紧张没有时间去检查。</t>
    </r>
    <r>
      <rPr>
        <sz val="11"/>
        <color theme="1"/>
        <rFont val="Times New Roman"/>
        <family val="1"/>
      </rPr>
      <t>T3</t>
    </r>
    <r>
      <rPr>
        <sz val="11"/>
        <color theme="1"/>
        <rFont val="宋体"/>
        <family val="2"/>
      </rPr>
      <t>级数敛散性失误，</t>
    </r>
    <r>
      <rPr>
        <sz val="11"/>
        <color theme="1"/>
        <rFont val="Times New Roman"/>
        <family val="1"/>
      </rPr>
      <t>T19</t>
    </r>
    <r>
      <rPr>
        <sz val="11"/>
        <color theme="1"/>
        <rFont val="宋体"/>
        <family val="2"/>
      </rPr>
      <t>密度成正比忘了乘系数</t>
    </r>
    <r>
      <rPr>
        <sz val="11"/>
        <color theme="1"/>
        <rFont val="Times New Roman"/>
        <family val="1"/>
      </rPr>
      <t>k</t>
    </r>
    <r>
      <rPr>
        <sz val="11"/>
        <color theme="1"/>
        <rFont val="宋体"/>
        <family val="2"/>
      </rPr>
      <t>，</t>
    </r>
    <r>
      <rPr>
        <sz val="11"/>
        <color theme="1"/>
        <rFont val="Times New Roman"/>
        <family val="1"/>
      </rPr>
      <t>T22</t>
    </r>
    <r>
      <rPr>
        <sz val="11"/>
        <color theme="1"/>
        <rFont val="宋体"/>
        <family val="2"/>
      </rPr>
      <t>概率论那个行列式负号掉了</t>
    </r>
    <phoneticPr fontId="1" type="noConversion"/>
  </si>
  <si>
    <r>
      <t>T20</t>
    </r>
    <r>
      <rPr>
        <sz val="11"/>
        <color theme="1"/>
        <rFont val="宋体"/>
        <family val="2"/>
      </rPr>
      <t>求出了基下的坐标忘了转成向量，</t>
    </r>
    <r>
      <rPr>
        <sz val="11"/>
        <color theme="1"/>
        <rFont val="Times New Roman"/>
        <family val="1"/>
      </rPr>
      <t>T23</t>
    </r>
    <r>
      <rPr>
        <sz val="11"/>
        <color theme="1"/>
        <rFont val="宋体"/>
        <family val="2"/>
      </rPr>
      <t>似然函数忘了写为</t>
    </r>
    <r>
      <rPr>
        <sz val="11"/>
        <color theme="1"/>
        <rFont val="Times New Roman"/>
        <family val="1"/>
      </rPr>
      <t>0</t>
    </r>
    <r>
      <rPr>
        <sz val="11"/>
        <color theme="1"/>
        <rFont val="宋体"/>
        <family val="2"/>
      </rPr>
      <t>的部分</t>
    </r>
    <phoneticPr fontId="1" type="noConversion"/>
  </si>
  <si>
    <r>
      <t>T18</t>
    </r>
    <r>
      <rPr>
        <sz val="11"/>
        <color theme="1"/>
        <rFont val="宋体"/>
        <family val="2"/>
      </rPr>
      <t>连续性证明不够严谨，</t>
    </r>
    <r>
      <rPr>
        <sz val="11"/>
        <color theme="1"/>
        <rFont val="Times New Roman"/>
        <family val="1"/>
      </rPr>
      <t>T19</t>
    </r>
    <r>
      <rPr>
        <sz val="11"/>
        <color theme="1"/>
        <rFont val="宋体"/>
        <family val="2"/>
      </rPr>
      <t>曲面积分积错了。选填小难，</t>
    </r>
    <r>
      <rPr>
        <sz val="11"/>
        <color theme="1"/>
        <rFont val="Times New Roman"/>
        <family val="1"/>
      </rPr>
      <t>T20,21</t>
    </r>
    <r>
      <rPr>
        <sz val="11"/>
        <color theme="1"/>
        <rFont val="宋体"/>
        <family val="2"/>
      </rPr>
      <t>比较创新，整体是个好卷子。</t>
    </r>
    <phoneticPr fontId="1" type="noConversion"/>
  </si>
  <si>
    <r>
      <rPr>
        <sz val="11"/>
        <color theme="1"/>
        <rFont val="宋体"/>
        <family val="2"/>
      </rPr>
      <t>没有任何价值的卷子，比期末还简单</t>
    </r>
    <phoneticPr fontId="1" type="noConversion"/>
  </si>
  <si>
    <r>
      <t>T16</t>
    </r>
    <r>
      <rPr>
        <sz val="11"/>
        <color theme="1"/>
        <rFont val="宋体"/>
        <family val="2"/>
      </rPr>
      <t>没求边界（因为感觉太复杂了），事实证明管它难不难算，该写还是要写。</t>
    </r>
    <r>
      <rPr>
        <sz val="11"/>
        <color theme="1"/>
        <rFont val="Times New Roman"/>
        <family val="1"/>
      </rPr>
      <t>T21</t>
    </r>
    <r>
      <rPr>
        <sz val="11"/>
        <color theme="1"/>
        <rFont val="宋体"/>
        <family val="2"/>
      </rPr>
      <t>逆矩阵只求了一个。卷子看起来很简单，但是计算量比较大而且还是有一定难度（小于</t>
    </r>
    <r>
      <rPr>
        <sz val="11"/>
        <color theme="1"/>
        <rFont val="Times New Roman"/>
        <family val="1"/>
      </rPr>
      <t>2016</t>
    </r>
    <r>
      <rPr>
        <sz val="11"/>
        <color theme="1"/>
        <rFont val="宋体"/>
        <family val="2"/>
      </rPr>
      <t>但大于过往其他偶数年），偶数年毕竟是偶数年。</t>
    </r>
    <phoneticPr fontId="1" type="noConversion"/>
  </si>
  <si>
    <r>
      <rPr>
        <sz val="11"/>
        <color theme="1"/>
        <rFont val="宋体"/>
        <family val="2"/>
      </rPr>
      <t>填空题错前两个，难崩，一个漏了</t>
    </r>
    <r>
      <rPr>
        <sz val="11"/>
        <color theme="1"/>
        <rFont val="Times New Roman"/>
        <family val="1"/>
      </rPr>
      <t>2</t>
    </r>
    <r>
      <rPr>
        <sz val="11"/>
        <color theme="1"/>
        <rFont val="宋体"/>
        <family val="2"/>
      </rPr>
      <t>一个多乘了</t>
    </r>
    <r>
      <rPr>
        <sz val="11"/>
        <color theme="1"/>
        <rFont val="Times New Roman"/>
        <family val="1"/>
      </rPr>
      <t>2</t>
    </r>
    <r>
      <rPr>
        <sz val="11"/>
        <color theme="1"/>
        <rFont val="宋体"/>
        <family val="2"/>
      </rPr>
      <t>，分数直接爆炸；多元极值应该三角换元代换；中值定理应该是经典题，但是没做的很完美</t>
    </r>
    <phoneticPr fontId="1" type="noConversion"/>
  </si>
  <si>
    <r>
      <t>T18</t>
    </r>
    <r>
      <rPr>
        <sz val="11"/>
        <color theme="1"/>
        <rFont val="宋体"/>
        <family val="2"/>
      </rPr>
      <t>数列极限第一问做复杂了，导致第二问证明写的不好</t>
    </r>
    <phoneticPr fontId="1" type="noConversion"/>
  </si>
  <si>
    <r>
      <rPr>
        <sz val="11"/>
        <color theme="1"/>
        <rFont val="宋体"/>
        <family val="2"/>
      </rPr>
      <t>偶数年份里面算简单的了，</t>
    </r>
    <r>
      <rPr>
        <sz val="11"/>
        <color theme="1"/>
        <rFont val="Times New Roman"/>
        <family val="1"/>
      </rPr>
      <t>T7</t>
    </r>
    <r>
      <rPr>
        <sz val="11"/>
        <color theme="1"/>
        <rFont val="宋体"/>
        <family val="2"/>
      </rPr>
      <t>其实不会写，但是猜猜估估其实大概还是能选出正确的那个选项</t>
    </r>
    <phoneticPr fontId="1" type="noConversion"/>
  </si>
  <si>
    <r>
      <t>T20</t>
    </r>
    <r>
      <rPr>
        <sz val="11"/>
        <color theme="1"/>
        <rFont val="宋体"/>
        <family val="2"/>
      </rPr>
      <t>中值定理应该是比较经典的题，但是过程写的不好，还是扣分算了；</t>
    </r>
    <r>
      <rPr>
        <sz val="11"/>
        <color theme="1"/>
        <rFont val="Times New Roman"/>
        <family val="1"/>
      </rPr>
      <t>T19</t>
    </r>
    <r>
      <rPr>
        <sz val="11"/>
        <color theme="1"/>
        <rFont val="宋体"/>
        <family val="2"/>
      </rPr>
      <t>微分方程需要想一下代换</t>
    </r>
    <phoneticPr fontId="1" type="noConversion"/>
  </si>
  <si>
    <r>
      <t>T1</t>
    </r>
    <r>
      <rPr>
        <sz val="11"/>
        <color theme="1"/>
        <rFont val="宋体"/>
        <family val="2"/>
      </rPr>
      <t>感觉题出的有点问题，</t>
    </r>
    <r>
      <rPr>
        <sz val="11"/>
        <color theme="1"/>
        <rFont val="Times New Roman"/>
        <family val="1"/>
      </rPr>
      <t>T12</t>
    </r>
    <r>
      <rPr>
        <sz val="11"/>
        <color theme="1"/>
        <rFont val="宋体"/>
        <family val="2"/>
      </rPr>
      <t>算错了。单看答题卡正面的题都很难，但是反面三个都太送分了。</t>
    </r>
    <phoneticPr fontId="1" type="noConversion"/>
  </si>
  <si>
    <r>
      <rPr>
        <sz val="11"/>
        <color theme="1"/>
        <rFont val="宋体"/>
        <family val="2"/>
      </rPr>
      <t>坐标因为题目给的是行向量，所以应该也写成行向量；通解忘了写特解上去，我是猪</t>
    </r>
    <phoneticPr fontId="1" type="noConversion"/>
  </si>
  <si>
    <r>
      <t>[</t>
    </r>
    <r>
      <rPr>
        <sz val="11"/>
        <color theme="1"/>
        <rFont val="宋体"/>
        <family val="2"/>
      </rPr>
      <t>速刷</t>
    </r>
    <r>
      <rPr>
        <sz val="11"/>
        <color theme="1"/>
        <rFont val="Times New Roman"/>
        <family val="1"/>
      </rPr>
      <t xml:space="preserve">] </t>
    </r>
    <r>
      <rPr>
        <sz val="11"/>
        <color theme="1"/>
        <rFont val="宋体"/>
        <family val="2"/>
      </rPr>
      <t>有</t>
    </r>
    <r>
      <rPr>
        <sz val="11"/>
        <color theme="1"/>
        <rFont val="Times New Roman"/>
        <family val="1"/>
      </rPr>
      <t>I,II</t>
    </r>
    <r>
      <rPr>
        <sz val="11"/>
        <color theme="1"/>
        <rFont val="宋体"/>
        <family val="2"/>
      </rPr>
      <t>两套卷的数一，扣分合并扣。</t>
    </r>
    <r>
      <rPr>
        <sz val="11"/>
        <color theme="1"/>
        <rFont val="Times New Roman"/>
        <family val="1"/>
      </rPr>
      <t xml:space="preserve"> T15</t>
    </r>
    <r>
      <rPr>
        <sz val="11"/>
        <color theme="1"/>
        <rFont val="宋体"/>
        <family val="2"/>
      </rPr>
      <t>可逆矩阵应该全部求出来，</t>
    </r>
    <r>
      <rPr>
        <sz val="11"/>
        <color theme="1"/>
        <rFont val="Times New Roman"/>
        <family val="1"/>
      </rPr>
      <t>T17</t>
    </r>
    <r>
      <rPr>
        <sz val="11"/>
        <color theme="1"/>
        <rFont val="宋体"/>
        <family val="2"/>
      </rPr>
      <t>遇到三次方应该也想极坐标，</t>
    </r>
    <r>
      <rPr>
        <sz val="11"/>
        <color theme="1"/>
        <rFont val="Times New Roman"/>
        <family val="1"/>
      </rPr>
      <t>T18</t>
    </r>
    <r>
      <rPr>
        <sz val="11"/>
        <color theme="1"/>
        <rFont val="宋体"/>
        <family val="2"/>
      </rPr>
      <t>表面积忘了底面，</t>
    </r>
    <r>
      <rPr>
        <sz val="11"/>
        <color theme="1"/>
        <rFont val="Times New Roman"/>
        <family val="1"/>
      </rPr>
      <t>T20</t>
    </r>
    <r>
      <rPr>
        <sz val="11"/>
        <color theme="1"/>
        <rFont val="宋体"/>
        <family val="2"/>
      </rPr>
      <t>中值定理还得学，</t>
    </r>
    <r>
      <rPr>
        <sz val="11"/>
        <color theme="1"/>
        <rFont val="Times New Roman"/>
        <family val="1"/>
      </rPr>
      <t>T22</t>
    </r>
    <r>
      <rPr>
        <sz val="11"/>
        <color theme="1"/>
        <rFont val="宋体"/>
        <family val="2"/>
      </rPr>
      <t>算矩估计我用的二阶实际上一阶就够了</t>
    </r>
    <phoneticPr fontId="1" type="noConversion"/>
  </si>
  <si>
    <r>
      <t>[</t>
    </r>
    <r>
      <rPr>
        <sz val="11"/>
        <color theme="1"/>
        <rFont val="宋体"/>
        <family val="2"/>
      </rPr>
      <t>速刷</t>
    </r>
    <r>
      <rPr>
        <sz val="11"/>
        <color theme="1"/>
        <rFont val="Times New Roman"/>
        <family val="1"/>
      </rPr>
      <t>] T6</t>
    </r>
    <r>
      <rPr>
        <sz val="11"/>
        <color theme="1"/>
        <rFont val="宋体"/>
        <family val="2"/>
      </rPr>
      <t>引力的方向求错了，应该是到该点的方向，而不是曲线的法向量；卷</t>
    </r>
    <r>
      <rPr>
        <sz val="11"/>
        <color theme="1"/>
        <rFont val="Times New Roman"/>
        <family val="1"/>
      </rPr>
      <t>IIT4</t>
    </r>
    <r>
      <rPr>
        <sz val="11"/>
        <color theme="1"/>
        <rFont val="宋体"/>
        <family val="2"/>
      </rPr>
      <t>的求值求错了</t>
    </r>
    <phoneticPr fontId="1" type="noConversion"/>
  </si>
  <si>
    <r>
      <t>[</t>
    </r>
    <r>
      <rPr>
        <sz val="11"/>
        <color theme="1"/>
        <rFont val="宋体"/>
        <family val="2"/>
      </rPr>
      <t>速刷</t>
    </r>
    <r>
      <rPr>
        <sz val="11"/>
        <color theme="1"/>
        <rFont val="Times New Roman"/>
        <family val="1"/>
      </rPr>
      <t xml:space="preserve">] </t>
    </r>
    <r>
      <rPr>
        <sz val="11"/>
        <color theme="1"/>
        <rFont val="宋体"/>
        <family val="2"/>
      </rPr>
      <t>比</t>
    </r>
    <r>
      <rPr>
        <sz val="11"/>
        <color theme="1"/>
        <rFont val="Times New Roman"/>
        <family val="1"/>
      </rPr>
      <t>25</t>
    </r>
    <r>
      <rPr>
        <sz val="11"/>
        <color theme="1"/>
        <rFont val="宋体"/>
        <family val="2"/>
      </rPr>
      <t>的张宇简单多了。</t>
    </r>
    <r>
      <rPr>
        <sz val="11"/>
        <color theme="1"/>
        <rFont val="Times New Roman"/>
        <family val="1"/>
      </rPr>
      <t>T6</t>
    </r>
    <r>
      <rPr>
        <sz val="11"/>
        <color theme="1"/>
        <rFont val="宋体"/>
        <family val="2"/>
      </rPr>
      <t>应该是</t>
    </r>
    <r>
      <rPr>
        <sz val="11"/>
        <color theme="1"/>
        <rFont val="Times New Roman"/>
        <family val="1"/>
      </rPr>
      <t>f=0</t>
    </r>
    <r>
      <rPr>
        <sz val="11"/>
        <color theme="1"/>
        <rFont val="宋体"/>
        <family val="2"/>
      </rPr>
      <t>，直接当</t>
    </r>
    <r>
      <rPr>
        <sz val="11"/>
        <color theme="1"/>
        <rFont val="Times New Roman"/>
        <family val="1"/>
      </rPr>
      <t>f=1</t>
    </r>
    <r>
      <rPr>
        <sz val="11"/>
        <color theme="1"/>
        <rFont val="宋体"/>
        <family val="2"/>
      </rPr>
      <t>算了；</t>
    </r>
    <r>
      <rPr>
        <sz val="11"/>
        <color theme="1"/>
        <rFont val="Times New Roman"/>
        <family val="1"/>
      </rPr>
      <t>T22</t>
    </r>
    <r>
      <rPr>
        <sz val="11"/>
        <color theme="1"/>
        <rFont val="宋体"/>
        <family val="2"/>
      </rPr>
      <t>里</t>
    </r>
    <r>
      <rPr>
        <sz val="11"/>
        <color theme="1"/>
        <rFont val="Times New Roman"/>
        <family val="1"/>
      </rPr>
      <t>4</t>
    </r>
    <r>
      <rPr>
        <sz val="11"/>
        <color theme="1"/>
        <rFont val="宋体"/>
        <family val="2"/>
      </rPr>
      <t>次方写成</t>
    </r>
    <r>
      <rPr>
        <sz val="11"/>
        <color theme="1"/>
        <rFont val="Times New Roman"/>
        <family val="1"/>
      </rPr>
      <t>3</t>
    </r>
    <r>
      <rPr>
        <sz val="11"/>
        <color theme="1"/>
        <rFont val="宋体"/>
        <family val="2"/>
      </rPr>
      <t>次方，不知道犯什么傻</t>
    </r>
    <phoneticPr fontId="1" type="noConversion"/>
  </si>
  <si>
    <r>
      <t>[</t>
    </r>
    <r>
      <rPr>
        <sz val="11"/>
        <color theme="1"/>
        <rFont val="宋体"/>
        <family val="2"/>
      </rPr>
      <t>速刷</t>
    </r>
    <r>
      <rPr>
        <sz val="11"/>
        <color theme="1"/>
        <rFont val="Times New Roman"/>
        <family val="1"/>
      </rPr>
      <t>] T14</t>
    </r>
    <r>
      <rPr>
        <sz val="11"/>
        <color theme="1"/>
        <rFont val="宋体"/>
        <family val="2"/>
      </rPr>
      <t>三次方我只乘了两次；</t>
    </r>
    <r>
      <rPr>
        <sz val="11"/>
        <color theme="1"/>
        <rFont val="Times New Roman"/>
        <family val="1"/>
      </rPr>
      <t>T16</t>
    </r>
    <r>
      <rPr>
        <sz val="11"/>
        <color theme="1"/>
        <rFont val="宋体"/>
        <family val="2"/>
      </rPr>
      <t>方差忘了系数要平方，</t>
    </r>
    <r>
      <rPr>
        <sz val="11"/>
        <color theme="1"/>
        <rFont val="Times New Roman"/>
        <family val="1"/>
      </rPr>
      <t>T21</t>
    </r>
    <r>
      <rPr>
        <sz val="11"/>
        <color theme="1"/>
        <rFont val="宋体"/>
        <family val="2"/>
      </rPr>
      <t>特征向量还能求错。这张卷子简单的要死考这么差，要反思了！</t>
    </r>
    <phoneticPr fontId="1" type="noConversion"/>
  </si>
  <si>
    <r>
      <t>[</t>
    </r>
    <r>
      <rPr>
        <sz val="11"/>
        <color theme="1"/>
        <rFont val="宋体"/>
        <family val="2"/>
      </rPr>
      <t>速刷</t>
    </r>
    <r>
      <rPr>
        <sz val="11"/>
        <color theme="1"/>
        <rFont val="Times New Roman"/>
        <family val="1"/>
      </rPr>
      <t>] T3</t>
    </r>
    <r>
      <rPr>
        <sz val="11"/>
        <color theme="1"/>
        <rFont val="宋体"/>
        <family val="2"/>
      </rPr>
      <t>二阶导少写了一个</t>
    </r>
    <r>
      <rPr>
        <sz val="11"/>
        <color theme="1"/>
        <rFont val="Times New Roman"/>
        <family val="1"/>
      </rPr>
      <t>'</t>
    </r>
    <r>
      <rPr>
        <sz val="11"/>
        <color theme="1"/>
        <rFont val="宋体"/>
        <family val="2"/>
      </rPr>
      <t>，</t>
    </r>
    <r>
      <rPr>
        <sz val="11"/>
        <color theme="1"/>
        <rFont val="Times New Roman"/>
        <family val="1"/>
      </rPr>
      <t>T4</t>
    </r>
    <r>
      <rPr>
        <sz val="11"/>
        <color theme="1"/>
        <rFont val="宋体"/>
        <family val="2"/>
      </rPr>
      <t>和函数忘了写收敛域，</t>
    </r>
    <r>
      <rPr>
        <sz val="11"/>
        <color theme="1"/>
        <rFont val="Times New Roman"/>
        <family val="1"/>
      </rPr>
      <t>T10</t>
    </r>
    <r>
      <rPr>
        <sz val="11"/>
        <color theme="1"/>
        <rFont val="宋体"/>
        <family val="2"/>
      </rPr>
      <t>概率忘了还要</t>
    </r>
    <r>
      <rPr>
        <sz val="11"/>
        <color theme="1"/>
        <rFont val="Times New Roman"/>
        <family val="1"/>
      </rPr>
      <t>1-p</t>
    </r>
    <r>
      <rPr>
        <sz val="11"/>
        <color theme="1"/>
        <rFont val="宋体"/>
        <family val="2"/>
      </rPr>
      <t>，</t>
    </r>
    <r>
      <rPr>
        <sz val="11"/>
        <color theme="1"/>
        <rFont val="Times New Roman"/>
        <family val="1"/>
      </rPr>
      <t>T4 1/8</t>
    </r>
    <r>
      <rPr>
        <sz val="11"/>
        <color theme="1"/>
        <rFont val="宋体"/>
        <family val="2"/>
      </rPr>
      <t>球的边界曲线应该只有球面而不包括坐标轴的线</t>
    </r>
    <phoneticPr fontId="1" type="noConversion"/>
  </si>
  <si>
    <r>
      <t>[</t>
    </r>
    <r>
      <rPr>
        <sz val="11"/>
        <color theme="1"/>
        <rFont val="宋体"/>
        <family val="2"/>
      </rPr>
      <t>速刷</t>
    </r>
    <r>
      <rPr>
        <sz val="11"/>
        <color theme="1"/>
        <rFont val="Times New Roman"/>
        <family val="1"/>
      </rPr>
      <t>] 2^4/4=8</t>
    </r>
    <r>
      <rPr>
        <sz val="11"/>
        <color theme="1"/>
        <rFont val="宋体"/>
        <family val="2"/>
      </rPr>
      <t>我是神人</t>
    </r>
    <phoneticPr fontId="1" type="noConversion"/>
  </si>
  <si>
    <r>
      <t>[</t>
    </r>
    <r>
      <rPr>
        <sz val="11"/>
        <color theme="1"/>
        <rFont val="宋体"/>
        <family val="2"/>
      </rPr>
      <t>速刷</t>
    </r>
    <r>
      <rPr>
        <sz val="11"/>
        <color theme="1"/>
        <rFont val="Times New Roman"/>
        <family val="1"/>
      </rPr>
      <t>] T5</t>
    </r>
    <r>
      <rPr>
        <sz val="11"/>
        <color theme="1"/>
        <rFont val="宋体"/>
        <family val="2"/>
      </rPr>
      <t>特征值的不会做，要用抽象定义式展开（好像张宇提过这个二级结论）。</t>
    </r>
    <r>
      <rPr>
        <sz val="11"/>
        <color theme="1"/>
        <rFont val="Times New Roman"/>
        <family val="1"/>
      </rPr>
      <t>T14</t>
    </r>
    <r>
      <rPr>
        <sz val="11"/>
        <color theme="1"/>
        <rFont val="宋体"/>
        <family val="2"/>
      </rPr>
      <t>曲线积分换线的时候忘了不应该换到有奇点的。</t>
    </r>
    <r>
      <rPr>
        <sz val="11"/>
        <color theme="1"/>
        <rFont val="Times New Roman"/>
        <family val="1"/>
      </rPr>
      <t>T18</t>
    </r>
    <r>
      <rPr>
        <sz val="11"/>
        <color theme="1"/>
        <rFont val="宋体"/>
        <family val="2"/>
      </rPr>
      <t>曲面积分转成二重积分然后椭圆面积求错了，当成圆的面积求了</t>
    </r>
    <phoneticPr fontId="1" type="noConversion"/>
  </si>
  <si>
    <r>
      <t>[</t>
    </r>
    <r>
      <rPr>
        <sz val="11"/>
        <color theme="1"/>
        <rFont val="宋体"/>
        <family val="2"/>
      </rPr>
      <t>速刷</t>
    </r>
    <r>
      <rPr>
        <sz val="11"/>
        <color theme="1"/>
        <rFont val="Times New Roman"/>
        <family val="1"/>
      </rPr>
      <t xml:space="preserve">] </t>
    </r>
    <r>
      <rPr>
        <sz val="11"/>
        <color theme="1"/>
        <rFont val="宋体"/>
        <family val="2"/>
      </rPr>
      <t>神人</t>
    </r>
    <r>
      <rPr>
        <sz val="11"/>
        <color theme="1"/>
        <rFont val="Times New Roman"/>
        <family val="1"/>
      </rPr>
      <t>T4</t>
    </r>
    <r>
      <rPr>
        <sz val="11"/>
        <color theme="1"/>
        <rFont val="宋体"/>
        <family val="2"/>
      </rPr>
      <t>二重积分算错了，</t>
    </r>
    <r>
      <rPr>
        <sz val="11"/>
        <color theme="1"/>
        <rFont val="Times New Roman"/>
        <family val="1"/>
      </rPr>
      <t>T13</t>
    </r>
    <r>
      <rPr>
        <sz val="11"/>
        <color theme="1"/>
        <rFont val="宋体"/>
        <family val="2"/>
      </rPr>
      <t>感觉答案不好，极小值可以非严格不等的，</t>
    </r>
    <r>
      <rPr>
        <sz val="11"/>
        <color theme="1"/>
        <rFont val="Times New Roman"/>
        <family val="1"/>
      </rPr>
      <t>T18</t>
    </r>
    <r>
      <rPr>
        <sz val="11"/>
        <color theme="1"/>
        <rFont val="宋体"/>
        <family val="2"/>
      </rPr>
      <t>曲面积分不会，</t>
    </r>
    <r>
      <rPr>
        <sz val="11"/>
        <color theme="1"/>
        <rFont val="Times New Roman"/>
        <family val="1"/>
      </rPr>
      <t>T19</t>
    </r>
    <r>
      <rPr>
        <sz val="11"/>
        <color theme="1"/>
        <rFont val="宋体"/>
        <family val="2"/>
      </rPr>
      <t>收敛域证明不够严谨，应该把</t>
    </r>
    <r>
      <rPr>
        <sz val="11"/>
        <color theme="1"/>
        <rFont val="Times New Roman"/>
        <family val="1"/>
      </rPr>
      <t>an</t>
    </r>
    <r>
      <rPr>
        <sz val="11"/>
        <color theme="1"/>
        <rFont val="宋体"/>
        <family val="2"/>
      </rPr>
      <t>表达式具体算出来。</t>
    </r>
    <phoneticPr fontId="1" type="noConversion"/>
  </si>
  <si>
    <r>
      <t>[</t>
    </r>
    <r>
      <rPr>
        <sz val="11"/>
        <color theme="1"/>
        <rFont val="宋体"/>
        <family val="2"/>
      </rPr>
      <t>速刷</t>
    </r>
    <r>
      <rPr>
        <sz val="11"/>
        <color theme="1"/>
        <rFont val="Times New Roman"/>
        <family val="1"/>
      </rPr>
      <t xml:space="preserve">] </t>
    </r>
    <r>
      <rPr>
        <sz val="11"/>
        <color theme="1"/>
        <rFont val="宋体"/>
        <family val="2"/>
      </rPr>
      <t>其实</t>
    </r>
    <r>
      <rPr>
        <sz val="11"/>
        <color theme="1"/>
        <rFont val="Times New Roman"/>
        <family val="1"/>
      </rPr>
      <t>T4</t>
    </r>
    <r>
      <rPr>
        <sz val="11"/>
        <color theme="1"/>
        <rFont val="宋体"/>
        <family val="2"/>
      </rPr>
      <t>曲面积分大概知道是那样做，但是还是没搞出来</t>
    </r>
    <phoneticPr fontId="1" type="noConversion"/>
  </si>
  <si>
    <r>
      <t>[</t>
    </r>
    <r>
      <rPr>
        <sz val="11"/>
        <color theme="1"/>
        <rFont val="宋体"/>
        <family val="2"/>
      </rPr>
      <t>速刷</t>
    </r>
    <r>
      <rPr>
        <sz val="11"/>
        <color theme="1"/>
        <rFont val="Times New Roman"/>
        <family val="1"/>
      </rPr>
      <t xml:space="preserve">] </t>
    </r>
    <r>
      <rPr>
        <sz val="11"/>
        <color theme="1"/>
        <rFont val="宋体"/>
        <family val="2"/>
      </rPr>
      <t>不过二次型要求写出表达式，理论上感觉得扣分但是算了</t>
    </r>
    <phoneticPr fontId="1" type="noConversion"/>
  </si>
  <si>
    <r>
      <t>[</t>
    </r>
    <r>
      <rPr>
        <sz val="11"/>
        <color theme="1"/>
        <rFont val="宋体"/>
        <family val="2"/>
      </rPr>
      <t>速刷</t>
    </r>
    <r>
      <rPr>
        <sz val="11"/>
        <color theme="1"/>
        <rFont val="Times New Roman"/>
        <family val="1"/>
      </rPr>
      <t xml:space="preserve">] </t>
    </r>
    <r>
      <rPr>
        <sz val="11"/>
        <color theme="1"/>
        <rFont val="宋体"/>
        <family val="2"/>
      </rPr>
      <t>终于早年真题有一次满分了，难度还是有一点，不过当然比这几年简单</t>
    </r>
    <phoneticPr fontId="1" type="noConversion"/>
  </si>
  <si>
    <r>
      <t>[</t>
    </r>
    <r>
      <rPr>
        <sz val="11"/>
        <color theme="1"/>
        <rFont val="宋体"/>
        <family val="2"/>
      </rPr>
      <t>速刷</t>
    </r>
    <r>
      <rPr>
        <sz val="11"/>
        <color theme="1"/>
        <rFont val="Times New Roman"/>
        <family val="1"/>
      </rPr>
      <t xml:space="preserve">] </t>
    </r>
    <r>
      <rPr>
        <sz val="11"/>
        <color theme="1"/>
        <rFont val="宋体"/>
        <family val="2"/>
      </rPr>
      <t>算的对的，选选项选错了，有点逆天了</t>
    </r>
    <phoneticPr fontId="1" type="noConversion"/>
  </si>
  <si>
    <r>
      <t>T16</t>
    </r>
    <r>
      <rPr>
        <sz val="11"/>
        <color theme="1"/>
        <rFont val="宋体"/>
        <family val="2"/>
      </rPr>
      <t>切比雪夫忘了是</t>
    </r>
    <r>
      <rPr>
        <sz val="11"/>
        <color theme="1"/>
        <rFont val="Times New Roman"/>
        <family val="1"/>
      </rPr>
      <t>1-</t>
    </r>
    <r>
      <rPr>
        <sz val="11"/>
        <color theme="1"/>
        <rFont val="宋体"/>
        <family val="2"/>
      </rPr>
      <t>；</t>
    </r>
    <r>
      <rPr>
        <sz val="11"/>
        <color theme="1"/>
        <rFont val="Times New Roman"/>
        <family val="1"/>
      </rPr>
      <t>T18dS</t>
    </r>
    <r>
      <rPr>
        <sz val="11"/>
        <color theme="1"/>
        <rFont val="宋体"/>
        <family val="2"/>
      </rPr>
      <t>转</t>
    </r>
    <r>
      <rPr>
        <sz val="11"/>
        <color theme="1"/>
        <rFont val="Times New Roman"/>
        <family val="1"/>
      </rPr>
      <t>dxdy</t>
    </r>
    <r>
      <rPr>
        <sz val="11"/>
        <color theme="1"/>
        <rFont val="宋体"/>
        <family val="2"/>
      </rPr>
      <t>没乘那个系数；</t>
    </r>
    <r>
      <rPr>
        <sz val="11"/>
        <color theme="1"/>
        <rFont val="Times New Roman"/>
        <family val="1"/>
      </rPr>
      <t>19</t>
    </r>
    <r>
      <rPr>
        <sz val="11"/>
        <color theme="1"/>
        <rFont val="宋体"/>
        <family val="2"/>
      </rPr>
      <t>忘了判</t>
    </r>
    <r>
      <rPr>
        <sz val="11"/>
        <color theme="1"/>
        <rFont val="Times New Roman"/>
        <family val="1"/>
      </rPr>
      <t>C</t>
    </r>
    <r>
      <rPr>
        <sz val="11"/>
        <color theme="1"/>
        <rFont val="宋体"/>
        <family val="2"/>
      </rPr>
      <t>不可为负。</t>
    </r>
    <r>
      <rPr>
        <sz val="11"/>
        <color theme="1"/>
        <rFont val="Times New Roman"/>
        <family val="1"/>
      </rPr>
      <t>T17</t>
    </r>
    <r>
      <rPr>
        <sz val="11"/>
        <color theme="1"/>
        <rFont val="宋体"/>
        <family val="2"/>
      </rPr>
      <t>定积分定义出的很巧妙。</t>
    </r>
    <r>
      <rPr>
        <sz val="11"/>
        <color theme="1"/>
        <rFont val="Times New Roman"/>
        <family val="1"/>
      </rPr>
      <t>T20</t>
    </r>
    <r>
      <rPr>
        <sz val="11"/>
        <color theme="1"/>
        <rFont val="宋体"/>
        <family val="2"/>
      </rPr>
      <t>积分区域划分为二维，真题好像出过一维的。</t>
    </r>
    <phoneticPr fontId="1" type="noConversion"/>
  </si>
  <si>
    <r>
      <t>[</t>
    </r>
    <r>
      <rPr>
        <sz val="11"/>
        <color theme="1"/>
        <rFont val="宋体"/>
        <family val="2"/>
      </rPr>
      <t>速刷</t>
    </r>
    <r>
      <rPr>
        <sz val="11"/>
        <color theme="1"/>
        <rFont val="Times New Roman"/>
        <family val="1"/>
      </rPr>
      <t>] T4</t>
    </r>
    <r>
      <rPr>
        <sz val="11"/>
        <color theme="1"/>
        <rFont val="宋体"/>
        <family val="2"/>
      </rPr>
      <t>曲面积分写错了，</t>
    </r>
    <r>
      <rPr>
        <sz val="11"/>
        <color theme="1"/>
        <rFont val="Times New Roman"/>
        <family val="1"/>
      </rPr>
      <t>T9</t>
    </r>
    <r>
      <rPr>
        <sz val="11"/>
        <color theme="1"/>
        <rFont val="宋体"/>
        <family val="2"/>
      </rPr>
      <t>证明行列式为</t>
    </r>
    <r>
      <rPr>
        <sz val="11"/>
        <color theme="1"/>
        <rFont val="Times New Roman"/>
        <family val="1"/>
      </rPr>
      <t>0</t>
    </r>
    <r>
      <rPr>
        <sz val="11"/>
        <color theme="1"/>
        <rFont val="宋体"/>
        <family val="2"/>
      </rPr>
      <t>不够严谨</t>
    </r>
    <phoneticPr fontId="1" type="noConversion"/>
  </si>
  <si>
    <r>
      <t>T1</t>
    </r>
    <r>
      <rPr>
        <sz val="11"/>
        <color theme="1"/>
        <rFont val="宋体"/>
        <family val="2"/>
      </rPr>
      <t>脑残算出来</t>
    </r>
    <r>
      <rPr>
        <sz val="11"/>
        <color theme="1"/>
        <rFont val="Times New Roman"/>
        <family val="1"/>
      </rPr>
      <t>lim=0</t>
    </r>
    <r>
      <rPr>
        <sz val="11"/>
        <color theme="1"/>
        <rFont val="宋体"/>
        <family val="2"/>
      </rPr>
      <t>忘了是连续；</t>
    </r>
    <r>
      <rPr>
        <sz val="11"/>
        <color theme="1"/>
        <rFont val="Times New Roman"/>
        <family val="1"/>
      </rPr>
      <t>T4</t>
    </r>
    <r>
      <rPr>
        <sz val="11"/>
        <color theme="1"/>
        <rFont val="宋体"/>
        <family val="2"/>
      </rPr>
      <t>偏导不会证明连续；</t>
    </r>
    <r>
      <rPr>
        <sz val="11"/>
        <color theme="1"/>
        <rFont val="Times New Roman"/>
        <family val="1"/>
      </rPr>
      <t>T7</t>
    </r>
    <r>
      <rPr>
        <sz val="11"/>
        <color theme="1"/>
        <rFont val="宋体"/>
        <family val="2"/>
      </rPr>
      <t>求出来特征值结果粗心搞错了；</t>
    </r>
    <r>
      <rPr>
        <sz val="11"/>
        <color theme="1"/>
        <rFont val="Times New Roman"/>
        <family val="1"/>
      </rPr>
      <t>T14</t>
    </r>
    <r>
      <rPr>
        <sz val="11"/>
        <color theme="1"/>
        <rFont val="宋体"/>
        <family val="2"/>
      </rPr>
      <t>算错；</t>
    </r>
    <r>
      <rPr>
        <sz val="11"/>
        <color theme="1"/>
        <rFont val="Times New Roman"/>
        <family val="1"/>
      </rPr>
      <t>T15</t>
    </r>
    <r>
      <rPr>
        <sz val="11"/>
        <color theme="1"/>
        <rFont val="宋体"/>
        <family val="2"/>
      </rPr>
      <t>算错；</t>
    </r>
    <r>
      <rPr>
        <sz val="11"/>
        <color theme="1"/>
        <rFont val="Times New Roman"/>
        <family val="1"/>
      </rPr>
      <t>T19</t>
    </r>
    <r>
      <rPr>
        <sz val="11"/>
        <color theme="1"/>
        <rFont val="宋体"/>
        <family val="2"/>
      </rPr>
      <t>多写了个</t>
    </r>
    <r>
      <rPr>
        <sz val="11"/>
        <color theme="1"/>
        <rFont val="Times New Roman"/>
        <family val="1"/>
      </rPr>
      <t>π</t>
    </r>
    <r>
      <rPr>
        <sz val="11"/>
        <color theme="1"/>
        <rFont val="宋体"/>
        <family val="2"/>
      </rPr>
      <t>；</t>
    </r>
    <r>
      <rPr>
        <sz val="11"/>
        <color theme="1"/>
        <rFont val="Times New Roman"/>
        <family val="1"/>
      </rPr>
      <t>T20</t>
    </r>
    <r>
      <rPr>
        <sz val="11"/>
        <color theme="1"/>
        <rFont val="宋体"/>
        <family val="2"/>
      </rPr>
      <t>写的乱七八糟；</t>
    </r>
    <r>
      <rPr>
        <sz val="11"/>
        <color theme="1"/>
        <rFont val="Times New Roman"/>
        <family val="1"/>
      </rPr>
      <t>T22</t>
    </r>
    <r>
      <rPr>
        <sz val="11"/>
        <color theme="1"/>
        <rFont val="宋体"/>
        <family val="2"/>
      </rPr>
      <t>矩估计两个方程解未知量没解出来</t>
    </r>
    <phoneticPr fontId="1" type="noConversion"/>
  </si>
  <si>
    <r>
      <t>T7</t>
    </r>
    <r>
      <rPr>
        <sz val="11"/>
        <color theme="1"/>
        <rFont val="宋体"/>
        <family val="2"/>
      </rPr>
      <t>确实不会写，行列式不知道怎么化简</t>
    </r>
    <phoneticPr fontId="1" type="noConversion"/>
  </si>
  <si>
    <r>
      <t>[</t>
    </r>
    <r>
      <rPr>
        <sz val="11"/>
        <color theme="1"/>
        <rFont val="宋体"/>
        <family val="2"/>
      </rPr>
      <t>速刷</t>
    </r>
    <r>
      <rPr>
        <sz val="11"/>
        <color theme="1"/>
        <rFont val="Times New Roman"/>
        <family val="1"/>
      </rPr>
      <t>] T4</t>
    </r>
    <r>
      <rPr>
        <sz val="11"/>
        <color theme="1"/>
        <rFont val="宋体"/>
        <family val="2"/>
      </rPr>
      <t>不是很会写，猜的</t>
    </r>
    <phoneticPr fontId="1" type="noConversion"/>
  </si>
  <si>
    <r>
      <t>[</t>
    </r>
    <r>
      <rPr>
        <sz val="11"/>
        <color theme="1"/>
        <rFont val="宋体"/>
        <family val="2"/>
      </rPr>
      <t>速刷</t>
    </r>
    <r>
      <rPr>
        <sz val="11"/>
        <color theme="1"/>
        <rFont val="Times New Roman"/>
        <family val="1"/>
      </rPr>
      <t xml:space="preserve">] </t>
    </r>
    <r>
      <rPr>
        <sz val="11"/>
        <color theme="1"/>
        <rFont val="宋体"/>
        <family val="2"/>
      </rPr>
      <t>感觉偶数年的难一些但是每次做的时间少一些，可能是计算量比较小吧</t>
    </r>
    <phoneticPr fontId="1" type="noConversion"/>
  </si>
  <si>
    <r>
      <t>[</t>
    </r>
    <r>
      <rPr>
        <sz val="11"/>
        <color theme="1"/>
        <rFont val="宋体"/>
        <family val="2"/>
      </rPr>
      <t>速刷</t>
    </r>
    <r>
      <rPr>
        <sz val="11"/>
        <color theme="1"/>
        <rFont val="Times New Roman"/>
        <family val="1"/>
      </rPr>
      <t xml:space="preserve">] </t>
    </r>
    <r>
      <rPr>
        <sz val="11"/>
        <color theme="1"/>
        <rFont val="宋体"/>
        <family val="2"/>
      </rPr>
      <t>感觉成刷卷子机器了，一点都不用心。充分必要搞反了，计算错一堆。</t>
    </r>
    <phoneticPr fontId="1" type="noConversion"/>
  </si>
  <si>
    <r>
      <t>[</t>
    </r>
    <r>
      <rPr>
        <sz val="11"/>
        <color theme="1"/>
        <rFont val="宋体"/>
        <family val="2"/>
      </rPr>
      <t>速刷</t>
    </r>
    <r>
      <rPr>
        <sz val="11"/>
        <color theme="1"/>
        <rFont val="Times New Roman"/>
        <family val="1"/>
      </rPr>
      <t>] T14</t>
    </r>
    <r>
      <rPr>
        <sz val="11"/>
        <color theme="1"/>
        <rFont val="宋体"/>
        <family val="2"/>
      </rPr>
      <t>多元极值出的确实很好，一开始没想到怎么做，然后做的时候又算错了。</t>
    </r>
    <r>
      <rPr>
        <sz val="11"/>
        <color theme="1"/>
        <rFont val="Times New Roman"/>
        <family val="1"/>
      </rPr>
      <t>T19</t>
    </r>
    <r>
      <rPr>
        <sz val="11"/>
        <color theme="1"/>
        <rFont val="宋体"/>
        <family val="2"/>
      </rPr>
      <t>忘了写收敛域</t>
    </r>
    <phoneticPr fontId="1" type="noConversion"/>
  </si>
  <si>
    <r>
      <t>[</t>
    </r>
    <r>
      <rPr>
        <sz val="11"/>
        <color theme="1"/>
        <rFont val="宋体"/>
        <family val="2"/>
      </rPr>
      <t>速刷</t>
    </r>
    <r>
      <rPr>
        <sz val="11"/>
        <color theme="1"/>
        <rFont val="Times New Roman"/>
        <family val="1"/>
      </rPr>
      <t xml:space="preserve">] </t>
    </r>
    <r>
      <rPr>
        <sz val="11"/>
        <color theme="1"/>
        <rFont val="宋体"/>
        <family val="2"/>
      </rPr>
      <t>把</t>
    </r>
    <r>
      <rPr>
        <sz val="11"/>
        <color theme="1"/>
        <rFont val="Times New Roman"/>
        <family val="1"/>
      </rPr>
      <t>EX²=E²X+DX</t>
    </r>
    <r>
      <rPr>
        <sz val="11"/>
        <color theme="1"/>
        <rFont val="宋体"/>
        <family val="2"/>
      </rPr>
      <t>的</t>
    </r>
    <r>
      <rPr>
        <sz val="11"/>
        <color theme="1"/>
        <rFont val="Times New Roman"/>
        <family val="1"/>
      </rPr>
      <t>DX</t>
    </r>
    <r>
      <rPr>
        <sz val="11"/>
        <color theme="1"/>
        <rFont val="宋体"/>
        <family val="2"/>
      </rPr>
      <t>也平方了，我好笨笨</t>
    </r>
    <phoneticPr fontId="1" type="noConversion"/>
  </si>
  <si>
    <r>
      <t>[</t>
    </r>
    <r>
      <rPr>
        <sz val="11"/>
        <color theme="1"/>
        <rFont val="宋体"/>
        <family val="2"/>
      </rPr>
      <t>全真模拟</t>
    </r>
    <r>
      <rPr>
        <sz val="11"/>
        <color theme="1"/>
        <rFont val="Times New Roman"/>
        <family val="1"/>
      </rPr>
      <t xml:space="preserve">] </t>
    </r>
    <r>
      <rPr>
        <sz val="11"/>
        <color theme="1"/>
        <rFont val="宋体"/>
        <family val="2"/>
      </rPr>
      <t>除了</t>
    </r>
    <r>
      <rPr>
        <sz val="11"/>
        <color theme="1"/>
        <rFont val="Times New Roman"/>
        <family val="1"/>
      </rPr>
      <t>T4</t>
    </r>
    <r>
      <rPr>
        <sz val="11"/>
        <color theme="1"/>
        <rFont val="宋体"/>
        <family val="2"/>
      </rPr>
      <t>做复杂了外（其实想到了简单的方法的思路但是没有将其完整写出来），其余题目秒杀且检查未发现问题，感觉这次状态很不错。</t>
    </r>
    <phoneticPr fontId="1" type="noConversion"/>
  </si>
  <si>
    <r>
      <t>[</t>
    </r>
    <r>
      <rPr>
        <sz val="11"/>
        <color theme="1"/>
        <rFont val="宋体"/>
        <family val="2"/>
      </rPr>
      <t>速刷</t>
    </r>
    <r>
      <rPr>
        <sz val="11"/>
        <color theme="1"/>
        <rFont val="Times New Roman"/>
        <family val="1"/>
      </rPr>
      <t>] T5</t>
    </r>
    <r>
      <rPr>
        <sz val="11"/>
        <color theme="1"/>
        <rFont val="宋体"/>
        <family val="2"/>
      </rPr>
      <t>人笨笨了，</t>
    </r>
    <r>
      <rPr>
        <sz val="11"/>
        <color theme="1"/>
        <rFont val="Times New Roman"/>
        <family val="1"/>
      </rPr>
      <t>T7</t>
    </r>
    <r>
      <rPr>
        <sz val="11"/>
        <color theme="1"/>
        <rFont val="宋体"/>
        <family val="2"/>
      </rPr>
      <t>不会，</t>
    </r>
    <r>
      <rPr>
        <sz val="11"/>
        <color theme="1"/>
        <rFont val="Times New Roman"/>
        <family val="1"/>
      </rPr>
      <t>T14</t>
    </r>
    <r>
      <rPr>
        <sz val="11"/>
        <color theme="1"/>
        <rFont val="宋体"/>
        <family val="2"/>
      </rPr>
      <t>不太会。</t>
    </r>
    <phoneticPr fontId="1" type="noConversion"/>
  </si>
  <si>
    <r>
      <t>[</t>
    </r>
    <r>
      <rPr>
        <sz val="11"/>
        <color theme="1"/>
        <rFont val="宋体"/>
        <family val="2"/>
      </rPr>
      <t>速刷</t>
    </r>
    <r>
      <rPr>
        <sz val="11"/>
        <color theme="1"/>
        <rFont val="Times New Roman"/>
        <family val="1"/>
      </rPr>
      <t>] T9EX</t>
    </r>
    <r>
      <rPr>
        <sz val="11"/>
        <color theme="1"/>
        <rFont val="宋体"/>
        <family val="2"/>
      </rPr>
      <t>需要绝对收敛才存在，这个忘了。</t>
    </r>
    <r>
      <rPr>
        <sz val="11"/>
        <color theme="1"/>
        <rFont val="Times New Roman"/>
        <family val="1"/>
      </rPr>
      <t>T12</t>
    </r>
    <r>
      <rPr>
        <sz val="11"/>
        <color theme="1"/>
        <rFont val="宋体"/>
        <family val="2"/>
      </rPr>
      <t>纯算错。</t>
    </r>
    <r>
      <rPr>
        <sz val="11"/>
        <color theme="1"/>
        <rFont val="Times New Roman"/>
        <family val="1"/>
      </rPr>
      <t>T18,19</t>
    </r>
    <r>
      <rPr>
        <sz val="11"/>
        <color theme="1"/>
        <rFont val="宋体"/>
        <family val="2"/>
      </rPr>
      <t>都是常规题但是算错了。</t>
    </r>
    <phoneticPr fontId="1" type="noConversion"/>
  </si>
  <si>
    <r>
      <t>[</t>
    </r>
    <r>
      <rPr>
        <sz val="11"/>
        <color theme="1"/>
        <rFont val="宋体"/>
        <family val="2"/>
      </rPr>
      <t>速刷</t>
    </r>
    <r>
      <rPr>
        <sz val="11"/>
        <color theme="1"/>
        <rFont val="Times New Roman"/>
        <family val="1"/>
      </rPr>
      <t>] T11</t>
    </r>
    <r>
      <rPr>
        <sz val="11"/>
        <color theme="1"/>
        <rFont val="宋体"/>
        <family val="2"/>
      </rPr>
      <t>无穷小写错了，</t>
    </r>
    <r>
      <rPr>
        <sz val="11"/>
        <color theme="1"/>
        <rFont val="Times New Roman"/>
        <family val="1"/>
      </rPr>
      <t>T17</t>
    </r>
    <r>
      <rPr>
        <sz val="11"/>
        <color theme="1"/>
        <rFont val="宋体"/>
        <family val="2"/>
      </rPr>
      <t>没注意到周期性（猜到了但是没往下写）</t>
    </r>
    <phoneticPr fontId="1" type="noConversion"/>
  </si>
  <si>
    <r>
      <t>[</t>
    </r>
    <r>
      <rPr>
        <sz val="11"/>
        <color theme="1"/>
        <rFont val="宋体"/>
        <family val="2"/>
      </rPr>
      <t>速刷</t>
    </r>
    <r>
      <rPr>
        <sz val="11"/>
        <color theme="1"/>
        <rFont val="Times New Roman"/>
        <family val="1"/>
      </rPr>
      <t>] T17</t>
    </r>
    <r>
      <rPr>
        <sz val="11"/>
        <color theme="1"/>
        <rFont val="宋体"/>
        <family val="2"/>
      </rPr>
      <t>没有化简干净，</t>
    </r>
    <r>
      <rPr>
        <sz val="11"/>
        <color theme="1"/>
        <rFont val="Times New Roman"/>
        <family val="1"/>
      </rPr>
      <t>T21</t>
    </r>
    <r>
      <rPr>
        <sz val="11"/>
        <color theme="1"/>
        <rFont val="宋体"/>
        <family val="2"/>
      </rPr>
      <t>实对称特征向量正交，题目给的两个向量它自己没化成正交我忘了化了。</t>
    </r>
    <phoneticPr fontId="1" type="noConversion"/>
  </si>
  <si>
    <r>
      <t>[</t>
    </r>
    <r>
      <rPr>
        <sz val="11"/>
        <color theme="1"/>
        <rFont val="宋体"/>
        <family val="2"/>
      </rPr>
      <t>速刷</t>
    </r>
    <r>
      <rPr>
        <sz val="11"/>
        <color theme="1"/>
        <rFont val="Times New Roman"/>
        <family val="1"/>
      </rPr>
      <t>] T6</t>
    </r>
    <r>
      <rPr>
        <sz val="11"/>
        <color theme="1"/>
        <rFont val="宋体"/>
        <family val="2"/>
      </rPr>
      <t>秩确实有点不会，</t>
    </r>
    <r>
      <rPr>
        <sz val="11"/>
        <color theme="1"/>
        <rFont val="Times New Roman"/>
        <family val="1"/>
      </rPr>
      <t>T16</t>
    </r>
    <r>
      <rPr>
        <sz val="11"/>
        <color theme="1"/>
        <rFont val="宋体"/>
        <family val="2"/>
      </rPr>
      <t>纯算错了，</t>
    </r>
    <r>
      <rPr>
        <sz val="11"/>
        <color theme="1"/>
        <rFont val="Times New Roman"/>
        <family val="1"/>
      </rPr>
      <t>T17</t>
    </r>
    <r>
      <rPr>
        <sz val="11"/>
        <color theme="1"/>
        <rFont val="宋体"/>
        <family val="2"/>
      </rPr>
      <t>二阶段求错了，但是这个二阶段好像不是第一次写错了</t>
    </r>
    <phoneticPr fontId="1" type="noConversion"/>
  </si>
  <si>
    <r>
      <t>[</t>
    </r>
    <r>
      <rPr>
        <sz val="11"/>
        <color theme="1"/>
        <rFont val="宋体"/>
        <family val="2"/>
      </rPr>
      <t>速刷</t>
    </r>
    <r>
      <rPr>
        <sz val="11"/>
        <color theme="1"/>
        <rFont val="Times New Roman"/>
        <family val="1"/>
      </rPr>
      <t>] T6</t>
    </r>
    <r>
      <rPr>
        <sz val="11"/>
        <color theme="1"/>
        <rFont val="宋体"/>
        <family val="2"/>
      </rPr>
      <t>不会，其他的很简单，秒了</t>
    </r>
    <phoneticPr fontId="1" type="noConversion"/>
  </si>
  <si>
    <r>
      <t>[</t>
    </r>
    <r>
      <rPr>
        <sz val="11"/>
        <color theme="1"/>
        <rFont val="宋体"/>
        <family val="2"/>
      </rPr>
      <t>速刷</t>
    </r>
    <r>
      <rPr>
        <sz val="11"/>
        <color theme="1"/>
        <rFont val="Times New Roman"/>
        <family val="1"/>
      </rPr>
      <t xml:space="preserve">] </t>
    </r>
    <r>
      <rPr>
        <sz val="11"/>
        <color theme="1"/>
        <rFont val="宋体"/>
        <family val="2"/>
      </rPr>
      <t>把</t>
    </r>
    <r>
      <rPr>
        <sz val="11"/>
        <color theme="1"/>
        <rFont val="Times New Roman"/>
        <family val="1"/>
      </rPr>
      <t>a</t>
    </r>
    <r>
      <rPr>
        <sz val="11"/>
        <color theme="1"/>
        <rFont val="宋体"/>
        <family val="2"/>
      </rPr>
      <t>当成</t>
    </r>
    <r>
      <rPr>
        <sz val="11"/>
        <color theme="1"/>
        <rFont val="Times New Roman"/>
        <family val="1"/>
      </rPr>
      <t>a²</t>
    </r>
    <r>
      <rPr>
        <sz val="11"/>
        <color theme="1"/>
        <rFont val="宋体"/>
        <family val="2"/>
      </rPr>
      <t>；线代算错；</t>
    </r>
    <r>
      <rPr>
        <sz val="11"/>
        <color theme="1"/>
        <rFont val="Times New Roman"/>
        <family val="1"/>
      </rPr>
      <t>X0</t>
    </r>
    <r>
      <rPr>
        <sz val="11"/>
        <color theme="1"/>
        <rFont val="宋体"/>
        <family val="2"/>
      </rPr>
      <t>样本不属于</t>
    </r>
    <r>
      <rPr>
        <sz val="11"/>
        <color theme="1"/>
        <rFont val="Times New Roman"/>
        <family val="1"/>
      </rPr>
      <t>X1~n</t>
    </r>
    <r>
      <rPr>
        <sz val="11"/>
        <color theme="1"/>
        <rFont val="宋体"/>
        <family val="2"/>
      </rPr>
      <t>。全是细节问题</t>
    </r>
    <phoneticPr fontId="1" type="noConversion"/>
  </si>
  <si>
    <r>
      <t>[</t>
    </r>
    <r>
      <rPr>
        <sz val="11"/>
        <color theme="1"/>
        <rFont val="宋体"/>
        <family val="2"/>
      </rPr>
      <t>速刷</t>
    </r>
    <r>
      <rPr>
        <sz val="11"/>
        <color theme="1"/>
        <rFont val="Times New Roman"/>
        <family val="1"/>
      </rPr>
      <t xml:space="preserve">] </t>
    </r>
    <r>
      <rPr>
        <sz val="11"/>
        <color theme="1"/>
        <rFont val="宋体"/>
        <family val="2"/>
      </rPr>
      <t>曲面积分不会。其他题目比上一套难一些，但是分数更高，感觉现在只会写难卷子了。。</t>
    </r>
    <phoneticPr fontId="1" type="noConversion"/>
  </si>
  <si>
    <r>
      <t>[</t>
    </r>
    <r>
      <rPr>
        <sz val="11"/>
        <color theme="1"/>
        <rFont val="宋体"/>
        <family val="2"/>
      </rPr>
      <t>速刷</t>
    </r>
    <r>
      <rPr>
        <sz val="11"/>
        <color theme="1"/>
        <rFont val="Times New Roman"/>
        <family val="1"/>
      </rPr>
      <t>] T3</t>
    </r>
    <r>
      <rPr>
        <sz val="11"/>
        <color theme="1"/>
        <rFont val="宋体"/>
        <family val="2"/>
      </rPr>
      <t>应该理解为</t>
    </r>
    <r>
      <rPr>
        <sz val="11"/>
        <color theme="1"/>
        <rFont val="Times New Roman"/>
        <family val="1"/>
      </rPr>
      <t>f(x,t)</t>
    </r>
    <r>
      <rPr>
        <sz val="11"/>
        <color theme="1"/>
        <rFont val="宋体"/>
        <family val="2"/>
      </rPr>
      <t>而不是</t>
    </r>
    <r>
      <rPr>
        <sz val="11"/>
        <color theme="1"/>
        <rFont val="Times New Roman"/>
        <family val="1"/>
      </rPr>
      <t>f(x,y)</t>
    </r>
    <r>
      <rPr>
        <sz val="11"/>
        <color theme="1"/>
        <rFont val="宋体"/>
        <family val="2"/>
      </rPr>
      <t>，</t>
    </r>
    <r>
      <rPr>
        <sz val="11"/>
        <color theme="1"/>
        <rFont val="Times New Roman"/>
        <family val="1"/>
      </rPr>
      <t>T14</t>
    </r>
    <r>
      <rPr>
        <sz val="11"/>
        <color theme="1"/>
        <rFont val="宋体"/>
        <family val="2"/>
      </rPr>
      <t>不算太会但是做出来了，</t>
    </r>
    <r>
      <rPr>
        <sz val="11"/>
        <color theme="1"/>
        <rFont val="Times New Roman"/>
        <family val="1"/>
      </rPr>
      <t>T19</t>
    </r>
    <r>
      <rPr>
        <sz val="11"/>
        <color theme="1"/>
        <rFont val="宋体"/>
        <family val="2"/>
      </rPr>
      <t>曲面积分没做出来</t>
    </r>
    <phoneticPr fontId="1" type="noConversion"/>
  </si>
  <si>
    <r>
      <t>[</t>
    </r>
    <r>
      <rPr>
        <sz val="11"/>
        <color theme="1"/>
        <rFont val="宋体"/>
        <family val="2"/>
      </rPr>
      <t>速刷</t>
    </r>
    <r>
      <rPr>
        <sz val="11"/>
        <color theme="1"/>
        <rFont val="Times New Roman"/>
        <family val="1"/>
      </rPr>
      <t>] T17</t>
    </r>
    <r>
      <rPr>
        <sz val="11"/>
        <color theme="1"/>
        <rFont val="宋体"/>
        <family val="2"/>
      </rPr>
      <t>抄漏了</t>
    </r>
    <r>
      <rPr>
        <sz val="11"/>
        <color theme="1"/>
        <rFont val="Times New Roman"/>
        <family val="1"/>
      </rPr>
      <t>1/2</t>
    </r>
    <r>
      <rPr>
        <sz val="11"/>
        <color theme="1"/>
        <rFont val="宋体"/>
        <family val="2"/>
      </rPr>
      <t>，</t>
    </r>
    <r>
      <rPr>
        <sz val="11"/>
        <color theme="1"/>
        <rFont val="Times New Roman"/>
        <family val="1"/>
      </rPr>
      <t>T20</t>
    </r>
    <r>
      <rPr>
        <sz val="11"/>
        <color theme="1"/>
        <rFont val="宋体"/>
        <family val="2"/>
      </rPr>
      <t>题目给的</t>
    </r>
    <r>
      <rPr>
        <sz val="11"/>
        <color theme="1"/>
        <rFont val="Times New Roman"/>
        <family val="1"/>
      </rPr>
      <t>r=1</t>
    </r>
    <r>
      <rPr>
        <sz val="11"/>
        <color theme="1"/>
        <rFont val="宋体"/>
        <family val="2"/>
      </rPr>
      <t>，错写成了</t>
    </r>
    <r>
      <rPr>
        <sz val="11"/>
        <color theme="1"/>
        <rFont val="Times New Roman"/>
        <family val="1"/>
      </rPr>
      <t>x=y=1</t>
    </r>
    <phoneticPr fontId="1" type="noConversion"/>
  </si>
  <si>
    <r>
      <t>[</t>
    </r>
    <r>
      <rPr>
        <sz val="11"/>
        <color theme="1"/>
        <rFont val="宋体"/>
        <family val="2"/>
      </rPr>
      <t>速刷</t>
    </r>
    <r>
      <rPr>
        <sz val="11"/>
        <color theme="1"/>
        <rFont val="Times New Roman"/>
        <family val="1"/>
      </rPr>
      <t>] T9</t>
    </r>
    <r>
      <rPr>
        <sz val="11"/>
        <color theme="1"/>
        <rFont val="宋体"/>
        <family val="2"/>
      </rPr>
      <t>确实有点阴，</t>
    </r>
    <r>
      <rPr>
        <sz val="11"/>
        <color theme="1"/>
        <rFont val="Times New Roman"/>
        <family val="1"/>
      </rPr>
      <t>T20</t>
    </r>
    <r>
      <rPr>
        <sz val="11"/>
        <color theme="1"/>
        <rFont val="宋体"/>
        <family val="2"/>
      </rPr>
      <t>三重积分算不动，就应该老老实实球坐标的</t>
    </r>
    <phoneticPr fontId="1" type="noConversion"/>
  </si>
  <si>
    <r>
      <t>[</t>
    </r>
    <r>
      <rPr>
        <sz val="11"/>
        <color theme="1"/>
        <rFont val="宋体"/>
        <family val="2"/>
      </rPr>
      <t>速刷</t>
    </r>
    <r>
      <rPr>
        <sz val="11"/>
        <color theme="1"/>
        <rFont val="Times New Roman"/>
        <family val="1"/>
      </rPr>
      <t>] T1</t>
    </r>
    <r>
      <rPr>
        <sz val="11"/>
        <color theme="1"/>
        <rFont val="宋体"/>
        <family val="2"/>
      </rPr>
      <t>的</t>
    </r>
    <r>
      <rPr>
        <sz val="11"/>
        <color theme="1"/>
        <rFont val="Times New Roman"/>
        <family val="1"/>
      </rPr>
      <t>lnlnx</t>
    </r>
    <r>
      <rPr>
        <sz val="11"/>
        <color theme="1"/>
        <rFont val="宋体"/>
        <family val="2"/>
      </rPr>
      <t>以为</t>
    </r>
    <r>
      <rPr>
        <sz val="11"/>
        <color theme="1"/>
        <rFont val="Times New Roman"/>
        <family val="1"/>
      </rPr>
      <t>x-&gt;1</t>
    </r>
    <r>
      <rPr>
        <sz val="11"/>
        <color theme="1"/>
        <rFont val="宋体"/>
        <family val="2"/>
      </rPr>
      <t>的时候是</t>
    </r>
    <r>
      <rPr>
        <sz val="11"/>
        <color theme="1"/>
        <rFont val="Times New Roman"/>
        <family val="1"/>
      </rPr>
      <t>0</t>
    </r>
    <r>
      <rPr>
        <sz val="11"/>
        <color theme="1"/>
        <rFont val="宋体"/>
        <family val="2"/>
      </rPr>
      <t>；</t>
    </r>
    <r>
      <rPr>
        <sz val="11"/>
        <color theme="1"/>
        <rFont val="Times New Roman"/>
        <family val="1"/>
      </rPr>
      <t>T2</t>
    </r>
    <r>
      <rPr>
        <sz val="11"/>
        <color theme="1"/>
        <rFont val="宋体"/>
        <family val="2"/>
      </rPr>
      <t>偏导又求错了，跟李林错的一样的；</t>
    </r>
    <r>
      <rPr>
        <sz val="11"/>
        <color theme="1"/>
        <rFont val="Times New Roman"/>
        <family val="1"/>
      </rPr>
      <t>T18</t>
    </r>
    <r>
      <rPr>
        <sz val="11"/>
        <color theme="1"/>
        <rFont val="宋体"/>
        <family val="2"/>
      </rPr>
      <t>曲面积分应该投影到</t>
    </r>
    <r>
      <rPr>
        <sz val="11"/>
        <color theme="1"/>
        <rFont val="Times New Roman"/>
        <family val="1"/>
      </rPr>
      <t>dydz</t>
    </r>
    <phoneticPr fontId="1" type="noConversion"/>
  </si>
  <si>
    <r>
      <t>[</t>
    </r>
    <r>
      <rPr>
        <sz val="11"/>
        <color theme="1"/>
        <rFont val="宋体"/>
        <family val="2"/>
      </rPr>
      <t>速刷</t>
    </r>
    <r>
      <rPr>
        <sz val="11"/>
        <color theme="1"/>
        <rFont val="Times New Roman"/>
        <family val="1"/>
      </rPr>
      <t xml:space="preserve">] </t>
    </r>
    <r>
      <rPr>
        <sz val="11"/>
        <color theme="1"/>
        <rFont val="宋体"/>
        <family val="2"/>
      </rPr>
      <t>质心是曲面而不是空间的</t>
    </r>
    <phoneticPr fontId="1" type="noConversion"/>
  </si>
  <si>
    <r>
      <t>[</t>
    </r>
    <r>
      <rPr>
        <sz val="11"/>
        <color theme="1"/>
        <rFont val="宋体"/>
        <family val="2"/>
      </rPr>
      <t>速刷</t>
    </r>
    <r>
      <rPr>
        <sz val="11"/>
        <color theme="1"/>
        <rFont val="Times New Roman"/>
        <family val="1"/>
      </rPr>
      <t xml:space="preserve">] </t>
    </r>
    <r>
      <rPr>
        <sz val="11"/>
        <color theme="1"/>
        <rFont val="宋体"/>
        <family val="2"/>
      </rPr>
      <t>第一题又错了，超越连错三次第一题了。</t>
    </r>
    <r>
      <rPr>
        <sz val="11"/>
        <color theme="1"/>
        <rFont val="Times New Roman"/>
        <family val="1"/>
      </rPr>
      <t>DX</t>
    </r>
    <r>
      <rPr>
        <sz val="11"/>
        <color theme="1"/>
        <rFont val="宋体"/>
        <family val="2"/>
      </rPr>
      <t>的</t>
    </r>
    <r>
      <rPr>
        <sz val="11"/>
        <color theme="1"/>
        <rFont val="Times New Roman"/>
        <family val="1"/>
      </rPr>
      <t>EX</t>
    </r>
    <r>
      <rPr>
        <sz val="11"/>
        <color theme="1"/>
        <rFont val="宋体"/>
        <family val="2"/>
      </rPr>
      <t>忘了平方</t>
    </r>
    <phoneticPr fontId="1" type="noConversion"/>
  </si>
  <si>
    <r>
      <t>[</t>
    </r>
    <r>
      <rPr>
        <sz val="11"/>
        <color theme="1"/>
        <rFont val="宋体"/>
        <family val="2"/>
      </rPr>
      <t>速刷</t>
    </r>
    <r>
      <rPr>
        <sz val="11"/>
        <color theme="1"/>
        <rFont val="Times New Roman"/>
        <family val="1"/>
      </rPr>
      <t xml:space="preserve">] </t>
    </r>
    <r>
      <rPr>
        <sz val="11"/>
        <color theme="1"/>
        <rFont val="宋体"/>
        <family val="2"/>
      </rPr>
      <t>多了个负号</t>
    </r>
    <phoneticPr fontId="1" type="noConversion"/>
  </si>
  <si>
    <r>
      <t>[</t>
    </r>
    <r>
      <rPr>
        <sz val="11"/>
        <color theme="1"/>
        <rFont val="宋体"/>
        <family val="2"/>
      </rPr>
      <t>速刷</t>
    </r>
    <r>
      <rPr>
        <sz val="11"/>
        <color theme="1"/>
        <rFont val="Times New Roman"/>
        <family val="1"/>
      </rPr>
      <t xml:space="preserve">] </t>
    </r>
    <r>
      <rPr>
        <sz val="11"/>
        <color theme="1"/>
        <rFont val="宋体"/>
        <family val="2"/>
      </rPr>
      <t>曲面积分求导的时候算错了；</t>
    </r>
    <r>
      <rPr>
        <sz val="11"/>
        <color theme="1"/>
        <rFont val="Times New Roman"/>
        <family val="1"/>
      </rPr>
      <t>T14</t>
    </r>
    <r>
      <rPr>
        <sz val="11"/>
        <color theme="1"/>
        <rFont val="宋体"/>
        <family val="2"/>
      </rPr>
      <t>求高阶导的时候算错了</t>
    </r>
    <phoneticPr fontId="1" type="noConversion"/>
  </si>
  <si>
    <r>
      <t>[</t>
    </r>
    <r>
      <rPr>
        <sz val="11"/>
        <color theme="1"/>
        <rFont val="宋体"/>
        <family val="2"/>
      </rPr>
      <t>速刷</t>
    </r>
    <r>
      <rPr>
        <sz val="11"/>
        <color theme="1"/>
        <rFont val="Times New Roman"/>
        <family val="1"/>
      </rPr>
      <t xml:space="preserve">] </t>
    </r>
    <r>
      <rPr>
        <sz val="11"/>
        <color theme="1"/>
        <rFont val="宋体"/>
        <family val="2"/>
      </rPr>
      <t>曲线积分的上下限应该讨论的</t>
    </r>
    <phoneticPr fontId="1" type="noConversion"/>
  </si>
  <si>
    <r>
      <t>[</t>
    </r>
    <r>
      <rPr>
        <sz val="11"/>
        <color theme="1"/>
        <rFont val="宋体"/>
        <family val="2"/>
      </rPr>
      <t>速刷</t>
    </r>
    <r>
      <rPr>
        <sz val="11"/>
        <color theme="1"/>
        <rFont val="Times New Roman"/>
        <family val="1"/>
      </rPr>
      <t>] T12</t>
    </r>
    <r>
      <rPr>
        <sz val="11"/>
        <color theme="1"/>
        <rFont val="宋体"/>
        <family val="2"/>
      </rPr>
      <t>我把</t>
    </r>
    <r>
      <rPr>
        <sz val="11"/>
        <color theme="1"/>
        <rFont val="Times New Roman"/>
        <family val="1"/>
      </rPr>
      <t>sqrtx</t>
    </r>
    <r>
      <rPr>
        <sz val="11"/>
        <color theme="1"/>
        <rFont val="宋体"/>
        <family val="2"/>
      </rPr>
      <t>的平方写成</t>
    </r>
    <r>
      <rPr>
        <sz val="11"/>
        <color theme="1"/>
        <rFont val="Times New Roman"/>
        <family val="1"/>
      </rPr>
      <t>x²</t>
    </r>
    <r>
      <rPr>
        <sz val="11"/>
        <color theme="1"/>
        <rFont val="宋体"/>
        <family val="2"/>
      </rPr>
      <t>了；</t>
    </r>
    <r>
      <rPr>
        <sz val="11"/>
        <color theme="1"/>
        <rFont val="Times New Roman"/>
        <family val="1"/>
      </rPr>
      <t>T18</t>
    </r>
    <r>
      <rPr>
        <sz val="11"/>
        <color theme="1"/>
        <rFont val="宋体"/>
        <family val="2"/>
      </rPr>
      <t>多元极值的</t>
    </r>
    <r>
      <rPr>
        <sz val="11"/>
        <color theme="1"/>
        <rFont val="Times New Roman"/>
        <family val="1"/>
      </rPr>
      <t>A</t>
    </r>
    <r>
      <rPr>
        <sz val="11"/>
        <color theme="1"/>
        <rFont val="宋体"/>
        <family val="2"/>
      </rPr>
      <t>求错了；</t>
    </r>
    <r>
      <rPr>
        <sz val="11"/>
        <color theme="1"/>
        <rFont val="Times New Roman"/>
        <family val="1"/>
      </rPr>
      <t>T19</t>
    </r>
    <r>
      <rPr>
        <sz val="11"/>
        <color theme="1"/>
        <rFont val="宋体"/>
        <family val="2"/>
      </rPr>
      <t>中值定理第二问没证明出来</t>
    </r>
    <phoneticPr fontId="1" type="noConversion"/>
  </si>
  <si>
    <r>
      <t>[</t>
    </r>
    <r>
      <rPr>
        <sz val="11"/>
        <color theme="1"/>
        <rFont val="宋体"/>
        <family val="2"/>
      </rPr>
      <t>速刷</t>
    </r>
    <r>
      <rPr>
        <sz val="11"/>
        <color theme="1"/>
        <rFont val="Times New Roman"/>
        <family val="1"/>
      </rPr>
      <t xml:space="preserve">] </t>
    </r>
    <r>
      <rPr>
        <sz val="11"/>
        <color theme="1"/>
        <rFont val="宋体"/>
        <family val="2"/>
      </rPr>
      <t>比前两套难多了，</t>
    </r>
    <r>
      <rPr>
        <sz val="11"/>
        <color theme="1"/>
        <rFont val="Times New Roman"/>
        <family val="1"/>
      </rPr>
      <t>T2</t>
    </r>
    <r>
      <rPr>
        <sz val="11"/>
        <color theme="1"/>
        <rFont val="宋体"/>
        <family val="2"/>
      </rPr>
      <t>不会，</t>
    </r>
    <r>
      <rPr>
        <sz val="11"/>
        <color theme="1"/>
        <rFont val="Times New Roman"/>
        <family val="1"/>
      </rPr>
      <t>T7</t>
    </r>
    <r>
      <rPr>
        <sz val="11"/>
        <color theme="1"/>
        <rFont val="宋体"/>
        <family val="2"/>
      </rPr>
      <t>忘了必须正定，</t>
    </r>
    <r>
      <rPr>
        <sz val="11"/>
        <color theme="1"/>
        <rFont val="Times New Roman"/>
        <family val="1"/>
      </rPr>
      <t>T22</t>
    </r>
    <r>
      <rPr>
        <sz val="11"/>
        <color theme="1"/>
        <rFont val="宋体"/>
        <family val="2"/>
      </rPr>
      <t>条件概率不会算</t>
    </r>
    <phoneticPr fontId="1" type="noConversion"/>
  </si>
  <si>
    <r>
      <t>[</t>
    </r>
    <r>
      <rPr>
        <sz val="11"/>
        <color theme="1"/>
        <rFont val="宋体"/>
        <family val="2"/>
      </rPr>
      <t>速刷</t>
    </r>
    <r>
      <rPr>
        <sz val="11"/>
        <color theme="1"/>
        <rFont val="Times New Roman"/>
        <family val="1"/>
      </rPr>
      <t>] T8</t>
    </r>
    <r>
      <rPr>
        <sz val="11"/>
        <color theme="1"/>
        <rFont val="宋体"/>
        <family val="2"/>
      </rPr>
      <t>超纲了，纯初生；</t>
    </r>
    <r>
      <rPr>
        <sz val="11"/>
        <color theme="1"/>
        <rFont val="Times New Roman"/>
        <family val="1"/>
      </rPr>
      <t>T19</t>
    </r>
    <r>
      <rPr>
        <sz val="11"/>
        <color theme="1"/>
        <rFont val="宋体"/>
        <family val="2"/>
      </rPr>
      <t>中值定理证明有点难想到，用柯西的条件并不充分</t>
    </r>
    <phoneticPr fontId="1" type="noConversion"/>
  </si>
  <si>
    <r>
      <t>[</t>
    </r>
    <r>
      <rPr>
        <sz val="11"/>
        <color theme="1"/>
        <rFont val="宋体"/>
        <family val="2"/>
      </rPr>
      <t>速刷</t>
    </r>
    <r>
      <rPr>
        <sz val="11"/>
        <color theme="1"/>
        <rFont val="Times New Roman"/>
        <family val="1"/>
      </rPr>
      <t>] T18</t>
    </r>
    <r>
      <rPr>
        <sz val="11"/>
        <color theme="1"/>
        <rFont val="宋体"/>
        <family val="2"/>
      </rPr>
      <t>二阶导算错了，</t>
    </r>
    <r>
      <rPr>
        <sz val="11"/>
        <color theme="1"/>
        <rFont val="Times New Roman"/>
        <family val="1"/>
      </rPr>
      <t>T19</t>
    </r>
    <r>
      <rPr>
        <sz val="11"/>
        <color theme="1"/>
        <rFont val="宋体"/>
        <family val="2"/>
      </rPr>
      <t>导数介值定理又超纲了，</t>
    </r>
    <r>
      <rPr>
        <sz val="11"/>
        <color theme="1"/>
        <rFont val="Times New Roman"/>
        <family val="1"/>
      </rPr>
      <t>T20</t>
    </r>
    <r>
      <rPr>
        <sz val="11"/>
        <color theme="1"/>
        <rFont val="宋体"/>
        <family val="2"/>
      </rPr>
      <t>曲面积分不会写，</t>
    </r>
    <r>
      <rPr>
        <sz val="11"/>
        <color theme="1"/>
        <rFont val="Times New Roman"/>
        <family val="1"/>
      </rPr>
      <t>T21</t>
    </r>
    <r>
      <rPr>
        <sz val="11"/>
        <color theme="1"/>
        <rFont val="宋体"/>
        <family val="2"/>
      </rPr>
      <t>忘了求逆矩阵了</t>
    </r>
    <phoneticPr fontId="1" type="noConversion"/>
  </si>
  <si>
    <r>
      <t>[</t>
    </r>
    <r>
      <rPr>
        <sz val="11"/>
        <color theme="1"/>
        <rFont val="宋体"/>
        <family val="2"/>
      </rPr>
      <t>速刷</t>
    </r>
    <r>
      <rPr>
        <sz val="11"/>
        <color theme="1"/>
        <rFont val="Times New Roman"/>
        <family val="1"/>
      </rPr>
      <t>] T3</t>
    </r>
    <r>
      <rPr>
        <sz val="11"/>
        <color theme="1"/>
        <rFont val="宋体"/>
        <family val="2"/>
      </rPr>
      <t>没有完全想出来解答方法；</t>
    </r>
    <r>
      <rPr>
        <sz val="11"/>
        <color theme="1"/>
        <rFont val="Times New Roman"/>
        <family val="1"/>
      </rPr>
      <t>T22</t>
    </r>
    <r>
      <rPr>
        <sz val="11"/>
        <color theme="1"/>
        <rFont val="宋体"/>
        <family val="2"/>
      </rPr>
      <t>应该分两次求解，我用的三重积分算不动</t>
    </r>
    <phoneticPr fontId="1" type="noConversion"/>
  </si>
  <si>
    <r>
      <t>[</t>
    </r>
    <r>
      <rPr>
        <sz val="11"/>
        <color theme="1"/>
        <rFont val="宋体"/>
        <family val="2"/>
      </rPr>
      <t>速刷</t>
    </r>
    <r>
      <rPr>
        <sz val="11"/>
        <color theme="1"/>
        <rFont val="Times New Roman"/>
        <family val="1"/>
      </rPr>
      <t>] T15</t>
    </r>
    <r>
      <rPr>
        <sz val="11"/>
        <color theme="1"/>
        <rFont val="宋体"/>
        <family val="2"/>
      </rPr>
      <t>漏了不能＞</t>
    </r>
    <r>
      <rPr>
        <sz val="11"/>
        <color theme="1"/>
        <rFont val="Times New Roman"/>
        <family val="1"/>
      </rPr>
      <t>n</t>
    </r>
    <r>
      <rPr>
        <sz val="11"/>
        <color theme="1"/>
        <rFont val="宋体"/>
        <family val="2"/>
      </rPr>
      <t>，</t>
    </r>
    <r>
      <rPr>
        <sz val="11"/>
        <color theme="1"/>
        <rFont val="Times New Roman"/>
        <family val="1"/>
      </rPr>
      <t>T17</t>
    </r>
    <r>
      <rPr>
        <sz val="11"/>
        <color theme="1"/>
        <rFont val="宋体"/>
        <family val="2"/>
      </rPr>
      <t>做了很久还是漏掉了两个任意常数。张八感觉</t>
    </r>
    <r>
      <rPr>
        <sz val="11"/>
        <color theme="1"/>
        <rFont val="Times New Roman"/>
        <family val="1"/>
      </rPr>
      <t>1,2</t>
    </r>
    <r>
      <rPr>
        <sz val="11"/>
        <color theme="1"/>
        <rFont val="宋体"/>
        <family val="2"/>
      </rPr>
      <t>比较好，</t>
    </r>
    <r>
      <rPr>
        <sz val="11"/>
        <color theme="1"/>
        <rFont val="Times New Roman"/>
        <family val="1"/>
      </rPr>
      <t>3</t>
    </r>
    <r>
      <rPr>
        <sz val="11"/>
        <color theme="1"/>
        <rFont val="宋体"/>
        <family val="2"/>
      </rPr>
      <t>较难，</t>
    </r>
    <r>
      <rPr>
        <sz val="11"/>
        <color theme="1"/>
        <rFont val="Times New Roman"/>
        <family val="1"/>
      </rPr>
      <t>7,8</t>
    </r>
    <r>
      <rPr>
        <sz val="11"/>
        <color theme="1"/>
        <rFont val="宋体"/>
        <family val="2"/>
      </rPr>
      <t>出的很烂</t>
    </r>
    <phoneticPr fontId="1" type="noConversion"/>
  </si>
  <si>
    <r>
      <t>[</t>
    </r>
    <r>
      <rPr>
        <sz val="11"/>
        <color theme="1"/>
        <rFont val="宋体"/>
        <family val="2"/>
      </rPr>
      <t>全真模拟</t>
    </r>
    <r>
      <rPr>
        <sz val="11"/>
        <color theme="1"/>
        <rFont val="Times New Roman"/>
        <family val="1"/>
      </rPr>
      <t xml:space="preserve">] </t>
    </r>
    <r>
      <rPr>
        <sz val="11"/>
        <color theme="1"/>
        <rFont val="宋体"/>
        <family val="2"/>
      </rPr>
      <t>曲线积分忘了应该和曲面形成右手坐标系，符号反了；</t>
    </r>
    <r>
      <rPr>
        <sz val="11"/>
        <color theme="1"/>
        <rFont val="Times New Roman"/>
        <family val="1"/>
      </rPr>
      <t>T15</t>
    </r>
    <r>
      <rPr>
        <sz val="11"/>
        <color theme="1"/>
        <rFont val="宋体"/>
        <family val="2"/>
      </rPr>
      <t>也不算太会，猜的半正定</t>
    </r>
    <phoneticPr fontId="1" type="noConversion"/>
  </si>
  <si>
    <r>
      <t>[</t>
    </r>
    <r>
      <rPr>
        <sz val="11"/>
        <color theme="1"/>
        <rFont val="宋体"/>
        <family val="2"/>
      </rPr>
      <t>速刷</t>
    </r>
    <r>
      <rPr>
        <sz val="11"/>
        <color theme="1"/>
        <rFont val="Times New Roman"/>
        <family val="1"/>
      </rPr>
      <t>] T13,14</t>
    </r>
    <r>
      <rPr>
        <sz val="11"/>
        <color theme="1"/>
        <rFont val="宋体"/>
        <family val="2"/>
      </rPr>
      <t>都是可避免的错误，</t>
    </r>
    <r>
      <rPr>
        <sz val="11"/>
        <color theme="1"/>
        <rFont val="Times New Roman"/>
        <family val="1"/>
      </rPr>
      <t>T18</t>
    </r>
    <r>
      <rPr>
        <sz val="11"/>
        <color theme="1"/>
        <rFont val="宋体"/>
        <family val="2"/>
      </rPr>
      <t>补面没不完整，应该直接用向量化的；</t>
    </r>
    <r>
      <rPr>
        <sz val="11"/>
        <color theme="1"/>
        <rFont val="Times New Roman"/>
        <family val="1"/>
      </rPr>
      <t>T19</t>
    </r>
    <r>
      <rPr>
        <sz val="11"/>
        <color theme="1"/>
        <rFont val="宋体"/>
        <family val="2"/>
      </rPr>
      <t>级数确实不会化简</t>
    </r>
    <phoneticPr fontId="1" type="noConversion"/>
  </si>
  <si>
    <r>
      <t>[</t>
    </r>
    <r>
      <rPr>
        <sz val="11"/>
        <color theme="1"/>
        <rFont val="宋体"/>
        <family val="2"/>
      </rPr>
      <t>速刷</t>
    </r>
    <r>
      <rPr>
        <sz val="11"/>
        <color theme="1"/>
        <rFont val="Times New Roman"/>
        <family val="1"/>
      </rPr>
      <t>] T5</t>
    </r>
    <r>
      <rPr>
        <sz val="11"/>
        <color theme="1"/>
        <rFont val="宋体"/>
        <family val="2"/>
      </rPr>
      <t>初等变换没看清楚，题目中列也换了（印象里真题考过的是只有行变换，然后不仔细看就写错了；</t>
    </r>
    <r>
      <rPr>
        <sz val="11"/>
        <color theme="1"/>
        <rFont val="Times New Roman"/>
        <family val="1"/>
      </rPr>
      <t>T15</t>
    </r>
    <r>
      <rPr>
        <sz val="11"/>
        <color theme="1"/>
        <rFont val="宋体"/>
        <family val="2"/>
      </rPr>
      <t>特征值忘了求倒数（逆矩阵）；</t>
    </r>
    <r>
      <rPr>
        <sz val="11"/>
        <color theme="1"/>
        <rFont val="Times New Roman"/>
        <family val="1"/>
      </rPr>
      <t>T20</t>
    </r>
    <r>
      <rPr>
        <sz val="11"/>
        <color theme="1"/>
        <rFont val="宋体"/>
        <family val="2"/>
      </rPr>
      <t>中值定理出的挺不错的，差点没写出来</t>
    </r>
    <phoneticPr fontId="1" type="noConversion"/>
  </si>
  <si>
    <r>
      <t>[</t>
    </r>
    <r>
      <rPr>
        <sz val="11"/>
        <color theme="1"/>
        <rFont val="宋体"/>
        <family val="2"/>
      </rPr>
      <t>速刷</t>
    </r>
    <r>
      <rPr>
        <sz val="11"/>
        <color theme="1"/>
        <rFont val="Times New Roman"/>
        <family val="1"/>
      </rPr>
      <t>] T13</t>
    </r>
    <r>
      <rPr>
        <sz val="11"/>
        <color theme="1"/>
        <rFont val="宋体"/>
        <family val="2"/>
      </rPr>
      <t>和函数忘了边界是不一样的，</t>
    </r>
    <r>
      <rPr>
        <sz val="11"/>
        <color theme="1"/>
        <rFont val="Times New Roman"/>
        <family val="1"/>
      </rPr>
      <t>T14</t>
    </r>
    <r>
      <rPr>
        <sz val="11"/>
        <color theme="1"/>
        <rFont val="宋体"/>
        <family val="2"/>
      </rPr>
      <t>球的面积没乘</t>
    </r>
    <r>
      <rPr>
        <sz val="11"/>
        <color theme="1"/>
        <rFont val="Times New Roman"/>
        <family val="1"/>
      </rPr>
      <t>4</t>
    </r>
    <r>
      <rPr>
        <sz val="11"/>
        <color theme="1"/>
        <rFont val="宋体"/>
        <family val="2"/>
      </rPr>
      <t>，</t>
    </r>
    <r>
      <rPr>
        <sz val="11"/>
        <color theme="1"/>
        <rFont val="Times New Roman"/>
        <family val="1"/>
      </rPr>
      <t>T16</t>
    </r>
    <r>
      <rPr>
        <sz val="11"/>
        <color theme="1"/>
        <rFont val="宋体"/>
        <family val="2"/>
      </rPr>
      <t>减法当成加法算了，</t>
    </r>
    <r>
      <rPr>
        <sz val="11"/>
        <color theme="1"/>
        <rFont val="Times New Roman"/>
        <family val="1"/>
      </rPr>
      <t>T20</t>
    </r>
    <r>
      <rPr>
        <sz val="11"/>
        <color theme="1"/>
        <rFont val="宋体"/>
        <family val="2"/>
      </rPr>
      <t>中值定理不容易想到怎么用到凸函数的结论</t>
    </r>
    <phoneticPr fontId="1" type="noConversion"/>
  </si>
  <si>
    <r>
      <t>[</t>
    </r>
    <r>
      <rPr>
        <sz val="11"/>
        <color theme="1"/>
        <rFont val="宋体"/>
        <family val="2"/>
      </rPr>
      <t>速刷</t>
    </r>
    <r>
      <rPr>
        <sz val="11"/>
        <color theme="1"/>
        <rFont val="Times New Roman"/>
        <family val="1"/>
      </rPr>
      <t xml:space="preserve">] </t>
    </r>
    <r>
      <rPr>
        <sz val="11"/>
        <color theme="1"/>
        <rFont val="宋体"/>
        <family val="2"/>
      </rPr>
      <t>中值定理还是不太会</t>
    </r>
    <phoneticPr fontId="1" type="noConversion"/>
  </si>
  <si>
    <r>
      <t>[</t>
    </r>
    <r>
      <rPr>
        <sz val="11"/>
        <color theme="1"/>
        <rFont val="宋体"/>
        <family val="2"/>
      </rPr>
      <t>速刷</t>
    </r>
    <r>
      <rPr>
        <sz val="11"/>
        <color theme="1"/>
        <rFont val="Times New Roman"/>
        <family val="1"/>
      </rPr>
      <t xml:space="preserve">] </t>
    </r>
    <r>
      <rPr>
        <sz val="11"/>
        <color theme="1"/>
        <rFont val="宋体"/>
        <family val="2"/>
      </rPr>
      <t>这几次线性代数跟中值定理做的都不好</t>
    </r>
    <phoneticPr fontId="1" type="noConversion"/>
  </si>
  <si>
    <r>
      <rPr>
        <sz val="11"/>
        <color theme="1"/>
        <rFont val="宋体"/>
        <family val="2"/>
      </rPr>
      <t>纯概念题</t>
    </r>
    <r>
      <rPr>
        <sz val="11"/>
        <color theme="1"/>
        <rFont val="Times New Roman"/>
        <family val="1"/>
      </rPr>
      <t>+</t>
    </r>
    <r>
      <rPr>
        <sz val="11"/>
        <color theme="1"/>
        <rFont val="宋体"/>
        <family val="2"/>
      </rPr>
      <t>计算扣了</t>
    </r>
    <r>
      <rPr>
        <sz val="11"/>
        <color theme="1"/>
        <rFont val="Times New Roman"/>
        <family val="1"/>
      </rPr>
      <t>10</t>
    </r>
    <r>
      <rPr>
        <sz val="11"/>
        <color theme="1"/>
        <rFont val="宋体"/>
        <family val="2"/>
      </rPr>
      <t>分，二级结论背错了扣了</t>
    </r>
    <r>
      <rPr>
        <sz val="11"/>
        <color theme="1"/>
        <rFont val="Times New Roman"/>
        <family val="1"/>
      </rPr>
      <t>4</t>
    </r>
    <r>
      <rPr>
        <sz val="11"/>
        <color theme="1"/>
        <rFont val="宋体"/>
        <family val="2"/>
      </rPr>
      <t>分，曲线曲面又不会积</t>
    </r>
    <phoneticPr fontId="1" type="noConversion"/>
  </si>
  <si>
    <r>
      <rPr>
        <sz val="11"/>
        <color theme="1"/>
        <rFont val="宋体"/>
        <family val="2"/>
      </rPr>
      <t>数理统计错</t>
    </r>
    <r>
      <rPr>
        <sz val="11"/>
        <color theme="1"/>
        <rFont val="Times New Roman"/>
        <family val="1"/>
      </rPr>
      <t>10</t>
    </r>
    <r>
      <rPr>
        <sz val="11"/>
        <color theme="1"/>
        <rFont val="宋体"/>
        <family val="2"/>
      </rPr>
      <t>分，</t>
    </r>
    <r>
      <rPr>
        <sz val="11"/>
        <color theme="1"/>
        <rFont val="Times New Roman"/>
        <family val="1"/>
      </rPr>
      <t>T13</t>
    </r>
    <r>
      <rPr>
        <sz val="11"/>
        <color theme="1"/>
        <rFont val="宋体"/>
        <family val="2"/>
      </rPr>
      <t>易错题</t>
    </r>
    <r>
      <rPr>
        <sz val="11"/>
        <color theme="1"/>
        <rFont val="Times New Roman"/>
        <family val="1"/>
      </rPr>
      <t>5</t>
    </r>
    <r>
      <rPr>
        <sz val="11"/>
        <color theme="1"/>
        <rFont val="宋体"/>
        <family val="2"/>
      </rPr>
      <t>分，</t>
    </r>
    <r>
      <rPr>
        <sz val="11"/>
        <color theme="1"/>
        <rFont val="Times New Roman"/>
        <family val="1"/>
      </rPr>
      <t>T19</t>
    </r>
    <r>
      <rPr>
        <sz val="11"/>
        <color theme="1"/>
        <rFont val="宋体"/>
        <family val="2"/>
      </rPr>
      <t>确实不会证明</t>
    </r>
    <phoneticPr fontId="1" type="noConversion"/>
  </si>
  <si>
    <r>
      <rPr>
        <sz val="11"/>
        <color theme="1"/>
        <rFont val="宋体"/>
        <family val="2"/>
      </rPr>
      <t>中值定理的这种做法确实以前没遇到。</t>
    </r>
    <r>
      <rPr>
        <sz val="11"/>
        <color theme="1"/>
        <rFont val="Times New Roman"/>
        <family val="1"/>
      </rPr>
      <t>T12</t>
    </r>
    <r>
      <rPr>
        <sz val="11"/>
        <color theme="1"/>
        <rFont val="宋体"/>
        <family val="2"/>
      </rPr>
      <t>定积分也没整出来</t>
    </r>
    <phoneticPr fontId="1" type="noConversion"/>
  </si>
  <si>
    <r>
      <rPr>
        <sz val="11"/>
        <color theme="1"/>
        <rFont val="宋体"/>
        <family val="2"/>
      </rPr>
      <t>李林的确实一点都不难。</t>
    </r>
    <r>
      <rPr>
        <sz val="11"/>
        <color theme="1"/>
        <rFont val="Times New Roman"/>
        <family val="1"/>
      </rPr>
      <t>T2</t>
    </r>
    <r>
      <rPr>
        <sz val="11"/>
        <color theme="1"/>
        <rFont val="宋体"/>
        <family val="2"/>
      </rPr>
      <t>多元微分偏导错了，忘了应该</t>
    </r>
    <r>
      <rPr>
        <sz val="11"/>
        <color theme="1"/>
        <rFont val="Times New Roman"/>
        <family val="1"/>
      </rPr>
      <t>fxy(0,0)=[fx(0,y)-fx(0.0)]</t>
    </r>
    <r>
      <rPr>
        <sz val="11"/>
        <color theme="1"/>
        <rFont val="宋体"/>
        <family val="2"/>
      </rPr>
      <t>还要</t>
    </r>
    <r>
      <rPr>
        <sz val="11"/>
        <color theme="1"/>
        <rFont val="Times New Roman"/>
        <family val="1"/>
      </rPr>
      <t>÷y</t>
    </r>
    <phoneticPr fontId="1" type="noConversion"/>
  </si>
  <si>
    <r>
      <rPr>
        <sz val="11"/>
        <color theme="1"/>
        <rFont val="宋体"/>
        <family val="2"/>
      </rPr>
      <t>旋度公式差点忘了，然后求行列式又忘记了负号，跟李擂</t>
    </r>
    <r>
      <rPr>
        <sz val="11"/>
        <color theme="1"/>
        <rFont val="Times New Roman"/>
        <family val="1"/>
      </rPr>
      <t>2</t>
    </r>
    <r>
      <rPr>
        <sz val="11"/>
        <color theme="1"/>
        <rFont val="宋体"/>
        <family val="2"/>
      </rPr>
      <t>概率论大题错的步骤一模一样。这个卷子感觉比之前的真题难多了，如果没练过，</t>
    </r>
    <r>
      <rPr>
        <sz val="11"/>
        <color theme="1"/>
        <rFont val="Times New Roman"/>
        <family val="1"/>
      </rPr>
      <t>T16</t>
    </r>
    <r>
      <rPr>
        <sz val="11"/>
        <color theme="1"/>
        <rFont val="宋体"/>
        <family val="2"/>
      </rPr>
      <t>微分方程肯定会卡，</t>
    </r>
    <r>
      <rPr>
        <sz val="11"/>
        <color theme="1"/>
        <rFont val="Times New Roman"/>
        <family val="1"/>
      </rPr>
      <t>T19</t>
    </r>
    <r>
      <rPr>
        <sz val="11"/>
        <color theme="1"/>
        <rFont val="宋体"/>
        <family val="2"/>
      </rPr>
      <t>级数估计做不出来</t>
    </r>
    <phoneticPr fontId="1" type="noConversion"/>
  </si>
  <si>
    <r>
      <t>[</t>
    </r>
    <r>
      <rPr>
        <sz val="11"/>
        <color theme="1"/>
        <rFont val="宋体"/>
        <family val="2"/>
      </rPr>
      <t>速刷</t>
    </r>
    <r>
      <rPr>
        <sz val="11"/>
        <color theme="1"/>
        <rFont val="Times New Roman"/>
        <family val="1"/>
      </rPr>
      <t>] T19</t>
    </r>
    <r>
      <rPr>
        <sz val="11"/>
        <color theme="1"/>
        <rFont val="宋体"/>
        <family val="2"/>
      </rPr>
      <t>抄着抄着漏了个</t>
    </r>
    <r>
      <rPr>
        <sz val="11"/>
        <color theme="1"/>
        <rFont val="Times New Roman"/>
        <family val="1"/>
      </rPr>
      <t>6</t>
    </r>
    <r>
      <rPr>
        <sz val="11"/>
        <color theme="1"/>
        <rFont val="宋体"/>
        <family val="2"/>
      </rPr>
      <t>，我可真</t>
    </r>
    <r>
      <rPr>
        <sz val="11"/>
        <color theme="1"/>
        <rFont val="Times New Roman"/>
        <family val="1"/>
      </rPr>
      <t>6</t>
    </r>
    <r>
      <rPr>
        <sz val="11"/>
        <color theme="1"/>
        <rFont val="宋体"/>
        <family val="2"/>
      </rPr>
      <t>啊</t>
    </r>
    <phoneticPr fontId="1" type="noConversion"/>
  </si>
  <si>
    <r>
      <t>[</t>
    </r>
    <r>
      <rPr>
        <sz val="11"/>
        <color theme="1"/>
        <rFont val="宋体"/>
        <family val="2"/>
      </rPr>
      <t>速刷</t>
    </r>
    <r>
      <rPr>
        <sz val="11"/>
        <color theme="1"/>
        <rFont val="Times New Roman"/>
        <family val="1"/>
      </rPr>
      <t>] T12</t>
    </r>
    <r>
      <rPr>
        <sz val="11"/>
        <color theme="1"/>
        <rFont val="宋体"/>
        <family val="2"/>
      </rPr>
      <t>真阴，又考</t>
    </r>
    <r>
      <rPr>
        <sz val="11"/>
        <color theme="1"/>
        <rFont val="Times New Roman"/>
        <family val="1"/>
      </rPr>
      <t>arcsinsinx</t>
    </r>
    <r>
      <rPr>
        <sz val="11"/>
        <color theme="1"/>
        <rFont val="宋体"/>
        <family val="2"/>
      </rPr>
      <t>的化简，又错了！</t>
    </r>
    <r>
      <rPr>
        <sz val="11"/>
        <color theme="1"/>
        <rFont val="Times New Roman"/>
        <family val="1"/>
      </rPr>
      <t>T15</t>
    </r>
    <r>
      <rPr>
        <sz val="11"/>
        <color theme="1"/>
        <rFont val="宋体"/>
        <family val="2"/>
      </rPr>
      <t>没考虑到其中一种情况其实不存在。</t>
    </r>
    <r>
      <rPr>
        <sz val="11"/>
        <color theme="1"/>
        <rFont val="Times New Roman"/>
        <family val="1"/>
      </rPr>
      <t>T18</t>
    </r>
    <r>
      <rPr>
        <sz val="11"/>
        <color theme="1"/>
        <rFont val="宋体"/>
        <family val="2"/>
      </rPr>
      <t>二重积分计算量有点大，应该先</t>
    </r>
    <r>
      <rPr>
        <sz val="11"/>
        <color theme="1"/>
        <rFont val="Times New Roman"/>
        <family val="1"/>
      </rPr>
      <t>x</t>
    </r>
    <r>
      <rPr>
        <sz val="11"/>
        <color theme="1"/>
        <rFont val="宋体"/>
        <family val="2"/>
      </rPr>
      <t>后</t>
    </r>
    <r>
      <rPr>
        <sz val="11"/>
        <color theme="1"/>
        <rFont val="Times New Roman"/>
        <family val="1"/>
      </rPr>
      <t>y</t>
    </r>
    <r>
      <rPr>
        <sz val="11"/>
        <color theme="1"/>
        <rFont val="宋体"/>
        <family val="2"/>
      </rPr>
      <t>的。</t>
    </r>
    <phoneticPr fontId="1" type="noConversion"/>
  </si>
  <si>
    <r>
      <t>[</t>
    </r>
    <r>
      <rPr>
        <sz val="11"/>
        <color theme="1"/>
        <rFont val="宋体"/>
        <family val="2"/>
      </rPr>
      <t>速刷</t>
    </r>
    <r>
      <rPr>
        <sz val="11"/>
        <color theme="1"/>
        <rFont val="Times New Roman"/>
        <family val="1"/>
      </rPr>
      <t xml:space="preserve">] </t>
    </r>
    <r>
      <rPr>
        <sz val="11"/>
        <color theme="1"/>
        <rFont val="宋体"/>
        <family val="2"/>
      </rPr>
      <t>其实难度不大，但是就是细节错了很多</t>
    </r>
    <phoneticPr fontId="1" type="noConversion"/>
  </si>
  <si>
    <r>
      <t>[</t>
    </r>
    <r>
      <rPr>
        <sz val="11"/>
        <color theme="1"/>
        <rFont val="宋体"/>
        <family val="2"/>
      </rPr>
      <t>速刷</t>
    </r>
    <r>
      <rPr>
        <sz val="11"/>
        <color theme="1"/>
        <rFont val="Times New Roman"/>
        <family val="1"/>
      </rPr>
      <t>] T13</t>
    </r>
    <r>
      <rPr>
        <sz val="11"/>
        <color theme="1"/>
        <rFont val="宋体"/>
        <family val="2"/>
      </rPr>
      <t>误用了奇偶性，</t>
    </r>
    <r>
      <rPr>
        <sz val="11"/>
        <color theme="1"/>
        <rFont val="Times New Roman"/>
        <family val="1"/>
      </rPr>
      <t>x+y+z=1</t>
    </r>
    <r>
      <rPr>
        <sz val="11"/>
        <color theme="1"/>
        <rFont val="宋体"/>
        <family val="2"/>
      </rPr>
      <t>不具备奇函数；</t>
    </r>
    <r>
      <rPr>
        <sz val="11"/>
        <color theme="1"/>
        <rFont val="Times New Roman"/>
        <family val="1"/>
      </rPr>
      <t>T16</t>
    </r>
    <r>
      <rPr>
        <sz val="11"/>
        <color theme="1"/>
        <rFont val="宋体"/>
        <family val="2"/>
      </rPr>
      <t>应该先用分布函数积分为</t>
    </r>
    <r>
      <rPr>
        <sz val="11"/>
        <color theme="1"/>
        <rFont val="Times New Roman"/>
        <family val="1"/>
      </rPr>
      <t>1</t>
    </r>
    <r>
      <rPr>
        <sz val="11"/>
        <color theme="1"/>
        <rFont val="宋体"/>
        <family val="2"/>
      </rPr>
      <t>求出</t>
    </r>
    <r>
      <rPr>
        <sz val="11"/>
        <color theme="1"/>
        <rFont val="Times New Roman"/>
        <family val="1"/>
      </rPr>
      <t>β=1</t>
    </r>
    <r>
      <rPr>
        <sz val="11"/>
        <color theme="1"/>
        <rFont val="宋体"/>
        <family val="2"/>
      </rPr>
      <t>；</t>
    </r>
    <r>
      <rPr>
        <sz val="11"/>
        <color theme="1"/>
        <rFont val="Times New Roman"/>
        <family val="1"/>
      </rPr>
      <t>T17</t>
    </r>
    <r>
      <rPr>
        <sz val="11"/>
        <color theme="1"/>
        <rFont val="宋体"/>
        <family val="2"/>
      </rPr>
      <t>把</t>
    </r>
    <r>
      <rPr>
        <sz val="11"/>
        <color theme="1"/>
        <rFont val="Times New Roman"/>
        <family val="1"/>
      </rPr>
      <t>cos</t>
    </r>
    <r>
      <rPr>
        <sz val="11"/>
        <color theme="1"/>
        <rFont val="宋体"/>
        <family val="2"/>
      </rPr>
      <t>抄错成</t>
    </r>
    <r>
      <rPr>
        <sz val="11"/>
        <color theme="1"/>
        <rFont val="Times New Roman"/>
        <family val="1"/>
      </rPr>
      <t>sin</t>
    </r>
    <phoneticPr fontId="1" type="noConversion"/>
  </si>
  <si>
    <r>
      <t>[</t>
    </r>
    <r>
      <rPr>
        <sz val="11"/>
        <color theme="1"/>
        <rFont val="宋体"/>
        <family val="2"/>
      </rPr>
      <t>速刷</t>
    </r>
    <r>
      <rPr>
        <sz val="11"/>
        <color theme="1"/>
        <rFont val="Times New Roman"/>
        <family val="1"/>
      </rPr>
      <t xml:space="preserve">] </t>
    </r>
    <r>
      <rPr>
        <sz val="11"/>
        <color theme="1"/>
        <rFont val="宋体"/>
        <family val="2"/>
      </rPr>
      <t>多元极值用</t>
    </r>
    <r>
      <rPr>
        <sz val="11"/>
        <color theme="1"/>
        <rFont val="Times New Roman"/>
        <family val="1"/>
      </rPr>
      <t>λ</t>
    </r>
    <r>
      <rPr>
        <sz val="11"/>
        <color theme="1"/>
        <rFont val="宋体"/>
        <family val="2"/>
      </rPr>
      <t>求</t>
    </r>
    <r>
      <rPr>
        <sz val="11"/>
        <color theme="1"/>
        <rFont val="Times New Roman"/>
        <family val="1"/>
      </rPr>
      <t>x^2+y^2</t>
    </r>
    <r>
      <rPr>
        <sz val="11"/>
        <color theme="1"/>
        <rFont val="宋体"/>
        <family val="2"/>
      </rPr>
      <t>确实第一次见，假设检验忘了写</t>
    </r>
    <r>
      <rPr>
        <sz val="11"/>
        <color theme="1"/>
        <rFont val="Times New Roman"/>
        <family val="1"/>
      </rPr>
      <t>n-1</t>
    </r>
    <r>
      <rPr>
        <sz val="11"/>
        <color theme="1"/>
        <rFont val="宋体"/>
        <family val="2"/>
      </rPr>
      <t>，其余的基本是粗心错误，比如求</t>
    </r>
    <r>
      <rPr>
        <sz val="11"/>
        <color theme="1"/>
        <rFont val="Times New Roman"/>
        <family val="1"/>
      </rPr>
      <t>EX^2Y</t>
    </r>
    <r>
      <rPr>
        <sz val="11"/>
        <color theme="1"/>
        <rFont val="宋体"/>
        <family val="2"/>
      </rPr>
      <t>忘了积分里面加个</t>
    </r>
    <r>
      <rPr>
        <sz val="11"/>
        <color theme="1"/>
        <rFont val="Times New Roman"/>
        <family val="1"/>
      </rPr>
      <t>y</t>
    </r>
    <r>
      <rPr>
        <sz val="11"/>
        <color theme="1"/>
        <rFont val="宋体"/>
        <family val="2"/>
      </rPr>
      <t>，线性方程组的解没写通解</t>
    </r>
    <phoneticPr fontId="1" type="noConversion"/>
  </si>
  <si>
    <t>11.10</t>
    <phoneticPr fontId="1" type="noConversion"/>
  </si>
  <si>
    <t>难得全对了，前两道大题最开始错了然后检查出来问题了（注意收敛域内可能存在一点不在和函数定义域里，要单独讨论）</t>
    <phoneticPr fontId="1" type="noConversion"/>
  </si>
  <si>
    <t>李艳芳-1</t>
    <phoneticPr fontId="1" type="noConversion"/>
  </si>
  <si>
    <t>线性无关，微分方程，几何概率</t>
    <phoneticPr fontId="1" type="noConversion"/>
  </si>
  <si>
    <t>芳神真的手下不留情，13分是计算失误（负号抄错了），其余的是真不会写</t>
    <phoneticPr fontId="1" type="noConversion"/>
  </si>
  <si>
    <t>李艳芳-2</t>
    <phoneticPr fontId="1" type="noConversion"/>
  </si>
  <si>
    <t>EX，级数收敛，tr</t>
    <phoneticPr fontId="1" type="noConversion"/>
  </si>
  <si>
    <t>其实这一套是芳三最难的，但是还是比较好猜而且主要是计算量比上一套还大，这次算错的稍微少了一点</t>
    <phoneticPr fontId="1" type="noConversion"/>
  </si>
  <si>
    <t>李艳芳-3</t>
    <phoneticPr fontId="1" type="noConversion"/>
  </si>
  <si>
    <t>二重积分，极值，曲面积分，数列求和</t>
    <phoneticPr fontId="1" type="noConversion"/>
  </si>
  <si>
    <t>这一套稍微简单一点，但是选择题错的太多了，后面大题其实还好</t>
    <phoneticPr fontId="1" type="noConversion"/>
  </si>
  <si>
    <t>张四-1</t>
    <phoneticPr fontId="1" type="noConversion"/>
  </si>
  <si>
    <t>空间几何</t>
    <phoneticPr fontId="1" type="noConversion"/>
  </si>
  <si>
    <t>[速刷] 这套其实非常非常简单，但是粗心错的好多。。</t>
    <phoneticPr fontId="1" type="noConversion"/>
  </si>
  <si>
    <t>张八-4</t>
    <phoneticPr fontId="1" type="noConversion"/>
  </si>
  <si>
    <t>李开丁-1</t>
    <phoneticPr fontId="1" type="noConversion"/>
  </si>
  <si>
    <t>[速刷] 整体不难，概率论的题比较新，感觉适合考前练手</t>
    <phoneticPr fontId="1" type="noConversion"/>
  </si>
  <si>
    <t>EX, 几何概型</t>
    <phoneticPr fontId="1" type="noConversion"/>
  </si>
  <si>
    <t>李艳芳-1</t>
    <phoneticPr fontId="1" type="noConversion"/>
  </si>
  <si>
    <t>f与f'，傅里叶级数</t>
    <phoneticPr fontId="1" type="noConversion"/>
  </si>
  <si>
    <t>这套感觉跟25的第三套难度差不多，大题比较白给，然后T4确实没想到都是错的，反例没举出来，T13算错了，T5有点不完全会</t>
    <phoneticPr fontId="1" type="noConversion"/>
  </si>
  <si>
    <t>这套也很简单，主要是T20不知道怎么证明≠0（数归证&gt;=0即可）</t>
    <phoneticPr fontId="1" type="noConversion"/>
  </si>
  <si>
    <t>李艳芳-2</t>
    <phoneticPr fontId="1" type="noConversion"/>
  </si>
  <si>
    <t>数列极限</t>
    <phoneticPr fontId="1" type="noConversion"/>
  </si>
  <si>
    <t>李艳芳-3</t>
    <phoneticPr fontId="1" type="noConversion"/>
  </si>
  <si>
    <t>11.20</t>
    <phoneticPr fontId="1" type="noConversion"/>
  </si>
  <si>
    <t>A*，概率分布，对称矩阵</t>
    <phoneticPr fontId="1" type="noConversion"/>
  </si>
  <si>
    <t>有点难这一套，T21没想到怎么化成对称更简单，选择题两个也不太会</t>
    <phoneticPr fontId="1" type="noConversion"/>
  </si>
  <si>
    <t>李擂-1</t>
    <phoneticPr fontId="1" type="noConversion"/>
  </si>
  <si>
    <t>tr(A*)，中值定理</t>
    <phoneticPr fontId="1" type="noConversion"/>
  </si>
  <si>
    <t>这套应该比去年的简单。中值定理是真不会，T15不知道怎么错了，T19负号抄错了；T18化成一重积分有点不好想到怎么算，T21我硬算的</t>
    <phoneticPr fontId="1" type="noConversion"/>
  </si>
  <si>
    <t>李擂-2</t>
    <phoneticPr fontId="1" type="noConversion"/>
  </si>
  <si>
    <t>洛必达，微分方程，极大似然</t>
    <phoneticPr fontId="1" type="noConversion"/>
  </si>
  <si>
    <t>这套其实没有那么难，但是错的挺多的。T1洛必达不能认为洛后极限存在，T13没去算an，T14椭圆方程写错了，T19y^2导数应该是2yy'，漏了y，T21负号抄掉了，T22极大似然写错了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</si>
</sst>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color rgb="FF9C0006"/>
      <name val="宋体"/>
      <family val="3"/>
      <charset val="134"/>
      <scheme val="minor"/>
    </font>
    <font>
      <sz val="11"/>
      <color rgb="FF9C0006"/>
      <name val="Consolas"/>
      <family val="3"/>
    </font>
    <font>
      <sz val="11"/>
      <color rgb="FF006100"/>
      <name val="Consolas"/>
      <family val="3"/>
    </font>
    <font>
      <sz val="11"/>
      <color rgb="FF9C6500"/>
      <name val="Consolas"/>
      <family val="3"/>
    </font>
    <font>
      <sz val="11"/>
      <color theme="1"/>
      <name val="Consolas"/>
      <family val="3"/>
    </font>
    <font>
      <sz val="11"/>
      <color theme="1"/>
      <name val="黑体"/>
      <family val="3"/>
      <charset val="134"/>
    </font>
    <font>
      <sz val="11"/>
      <color rgb="FF006100"/>
      <name val="宋体"/>
      <family val="3"/>
      <charset val="134"/>
      <scheme val="minor"/>
    </font>
    <font>
      <sz val="11"/>
      <color rgb="FF9C6500"/>
      <name val="宋体"/>
      <family val="3"/>
      <charset val="134"/>
      <scheme val="minor"/>
    </font>
    <font>
      <sz val="11"/>
      <color theme="1"/>
      <name val="方正大黑简体"/>
      <family val="4"/>
      <charset val="134"/>
    </font>
    <font>
      <sz val="11"/>
      <color theme="1"/>
      <name val="宋体"/>
      <family val="2"/>
    </font>
    <font>
      <sz val="11"/>
      <color theme="1"/>
      <name val="Times New Roman"/>
      <family val="1"/>
    </font>
    <font>
      <sz val="10"/>
      <color rgb="FFABB2BF"/>
      <name val="Consolas"/>
      <family val="3"/>
    </font>
  </fonts>
  <fills count="5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2" fillId="2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</cellStyleXfs>
  <cellXfs count="22">
    <xf numFmtId="0" fontId="0" fillId="0" borderId="0" xfId="0"/>
    <xf numFmtId="0" fontId="0" fillId="0" borderId="0" xfId="0" applyAlignment="1">
      <alignment horizontal="center"/>
    </xf>
    <xf numFmtId="0" fontId="2" fillId="2" borderId="0" xfId="1" applyAlignment="1">
      <alignment horizontal="center"/>
    </xf>
    <xf numFmtId="0" fontId="3" fillId="3" borderId="0" xfId="2" applyAlignment="1">
      <alignment horizontal="center"/>
    </xf>
    <xf numFmtId="0" fontId="4" fillId="4" borderId="0" xfId="3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2" borderId="0" xfId="1" applyFont="1" applyAlignment="1">
      <alignment horizontal="center"/>
    </xf>
    <xf numFmtId="49" fontId="0" fillId="0" borderId="0" xfId="0" applyNumberFormat="1" applyAlignment="1">
      <alignment horizontal="center"/>
    </xf>
    <xf numFmtId="0" fontId="0" fillId="0" borderId="0" xfId="0" applyAlignment="1"/>
    <xf numFmtId="0" fontId="8" fillId="2" borderId="0" xfId="1" applyFont="1" applyAlignment="1">
      <alignment horizontal="center"/>
    </xf>
    <xf numFmtId="0" fontId="9" fillId="4" borderId="0" xfId="3" applyFont="1" applyAlignment="1">
      <alignment horizontal="center"/>
    </xf>
    <xf numFmtId="0" fontId="10" fillId="3" borderId="0" xfId="2" applyFont="1" applyAlignment="1">
      <alignment horizontal="center"/>
    </xf>
    <xf numFmtId="0" fontId="11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13" fillId="4" borderId="0" xfId="3" applyFont="1" applyAlignment="1">
      <alignment horizontal="center"/>
    </xf>
    <xf numFmtId="0" fontId="14" fillId="3" borderId="0" xfId="2" applyFont="1" applyAlignment="1">
      <alignment horizontal="center"/>
    </xf>
    <xf numFmtId="0" fontId="15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7" fillId="0" borderId="0" xfId="0" applyFont="1" applyAlignment="1">
      <alignment horizontal="left"/>
    </xf>
    <xf numFmtId="0" fontId="17" fillId="0" borderId="0" xfId="0" applyFont="1" applyAlignment="1"/>
    <xf numFmtId="0" fontId="18" fillId="0" borderId="0" xfId="0" applyFont="1" applyAlignment="1">
      <alignment horizontal="left" vertical="center" readingOrder="1"/>
    </xf>
  </cellXfs>
  <cellStyles count="4">
    <cellStyle name="差" xfId="1" builtinId="27"/>
    <cellStyle name="常规" xfId="0" builtinId="0"/>
    <cellStyle name="好" xfId="3" builtinId="26"/>
    <cellStyle name="适中" xfId="2" builtinId="2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59"/>
  <sheetViews>
    <sheetView tabSelected="1" topLeftCell="A87" zoomScaleNormal="100" workbookViewId="0">
      <selection activeCell="Q108" sqref="Q108"/>
    </sheetView>
  </sheetViews>
  <sheetFormatPr defaultRowHeight="14.4" x14ac:dyDescent="0.25"/>
  <cols>
    <col min="1" max="1" width="11.44140625" style="1" customWidth="1"/>
    <col min="2" max="2" width="6.109375" style="1" customWidth="1"/>
    <col min="3" max="3" width="3.44140625" style="1" customWidth="1"/>
    <col min="4" max="4" width="5.33203125" style="1" customWidth="1"/>
    <col min="5" max="5" width="5.88671875" style="1" customWidth="1"/>
    <col min="6" max="6" width="5" style="1" customWidth="1"/>
    <col min="7" max="7" width="3.44140625" style="1" customWidth="1"/>
    <col min="8" max="8" width="3.6640625" style="1" customWidth="1"/>
    <col min="9" max="10" width="4.5546875" style="1" customWidth="1"/>
    <col min="11" max="11" width="3.77734375" style="1" customWidth="1"/>
    <col min="12" max="12" width="4" style="1" customWidth="1"/>
    <col min="13" max="14" width="6.6640625" style="1" customWidth="1"/>
    <col min="15" max="15" width="7.109375" style="1" customWidth="1"/>
    <col min="16" max="16" width="6.88671875" style="1" customWidth="1"/>
    <col min="17" max="17" width="6.77734375" style="1" customWidth="1"/>
    <col min="18" max="18" width="6.109375" style="1" customWidth="1"/>
    <col min="19" max="19" width="25.44140625" style="1" customWidth="1"/>
    <col min="20" max="20" width="19" style="1" customWidth="1"/>
    <col min="21" max="21" width="10.109375" style="1" customWidth="1"/>
    <col min="22" max="22" width="9.5546875" style="1" customWidth="1"/>
    <col min="23" max="23" width="11.21875" style="1" customWidth="1"/>
    <col min="24" max="24" width="14.44140625" style="1" customWidth="1"/>
    <col min="25" max="25" width="13.88671875" style="1" customWidth="1"/>
    <col min="26" max="26" width="13.77734375" style="1" customWidth="1"/>
    <col min="27" max="27" width="14.5546875" style="1" customWidth="1"/>
    <col min="28" max="16384" width="8.88671875" style="1"/>
  </cols>
  <sheetData>
    <row r="1" spans="1:27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10</v>
      </c>
      <c r="F1" s="5" t="s">
        <v>11</v>
      </c>
      <c r="G1" s="5" t="s">
        <v>12</v>
      </c>
      <c r="H1" s="5" t="s">
        <v>13</v>
      </c>
      <c r="I1" s="5" t="s">
        <v>14</v>
      </c>
      <c r="J1" s="5" t="s">
        <v>15</v>
      </c>
      <c r="K1" s="5" t="s">
        <v>16</v>
      </c>
      <c r="L1" s="5" t="s">
        <v>17</v>
      </c>
      <c r="M1" s="5" t="s">
        <v>5</v>
      </c>
      <c r="N1" s="5" t="s">
        <v>6</v>
      </c>
      <c r="O1" s="5" t="s">
        <v>7</v>
      </c>
      <c r="P1" s="5" t="s">
        <v>8</v>
      </c>
      <c r="Q1" s="5" t="s">
        <v>9</v>
      </c>
      <c r="R1" s="5" t="s">
        <v>4</v>
      </c>
      <c r="S1" s="5" t="s">
        <v>18</v>
      </c>
      <c r="T1" s="5" t="s">
        <v>19</v>
      </c>
      <c r="U1" s="5" t="s">
        <v>167</v>
      </c>
      <c r="V1" s="5" t="s">
        <v>165</v>
      </c>
      <c r="W1" s="5" t="s">
        <v>166</v>
      </c>
      <c r="X1" s="5" t="s">
        <v>183</v>
      </c>
      <c r="Y1" s="5" t="s">
        <v>168</v>
      </c>
      <c r="Z1" s="5" t="s">
        <v>183</v>
      </c>
      <c r="AA1" s="5" t="s">
        <v>168</v>
      </c>
    </row>
    <row r="2" spans="1:27" ht="15" x14ac:dyDescent="0.3">
      <c r="A2" s="6" t="s">
        <v>21</v>
      </c>
      <c r="B2" s="6">
        <v>2024</v>
      </c>
      <c r="C2" s="1">
        <v>1</v>
      </c>
      <c r="D2" s="10">
        <v>119</v>
      </c>
      <c r="E2" s="1">
        <v>2.2200000000000002</v>
      </c>
      <c r="F2" s="1">
        <v>111</v>
      </c>
      <c r="G2" s="1">
        <v>3</v>
      </c>
      <c r="H2" s="1">
        <v>4</v>
      </c>
      <c r="I2" s="1">
        <v>2</v>
      </c>
      <c r="J2" s="2">
        <v>29</v>
      </c>
      <c r="K2" s="1">
        <v>0</v>
      </c>
      <c r="L2" s="1">
        <v>5</v>
      </c>
      <c r="M2" s="3">
        <v>5</v>
      </c>
      <c r="N2" s="2">
        <v>10</v>
      </c>
      <c r="O2" s="2">
        <v>16</v>
      </c>
      <c r="P2" s="7">
        <v>17</v>
      </c>
      <c r="Q2" s="16">
        <v>5</v>
      </c>
      <c r="R2" s="16">
        <v>9</v>
      </c>
      <c r="S2" s="14" t="s">
        <v>20</v>
      </c>
      <c r="T2" s="19" t="s">
        <v>208</v>
      </c>
      <c r="U2" s="13">
        <f>AVERAGEIF(D:D, "&gt;100")</f>
        <v>136.21276595744681</v>
      </c>
      <c r="V2" s="13">
        <f>AVERAGEIFS(D:D, A:A, "数一", D:D, "&gt;100")</f>
        <v>146.53333333333333</v>
      </c>
      <c r="W2" s="13">
        <f>AVERAGEIFS(D:D, A:A, "&lt;&gt;数一", D:D, "&gt;100")</f>
        <v>134.25316455696202</v>
      </c>
      <c r="X2" s="13" t="str">
        <f>TEXT(AVERAGEIFS(M:M,D:D,"&gt;100"),"0.0") &amp; "," &amp;
 TEXT(AVERAGEIFS(N:N,D:D,"&gt;100"),"0.0") &amp; "," &amp;
 TEXT(AVERAGEIFS(O:O,D:D,"&gt;100"),"0.0")</f>
        <v>3.2,3.7,6.8</v>
      </c>
      <c r="Y2" s="13" t="str">
        <f>TEXT(AVERAGEIFS(P:P,D:D,"&gt;100"),"0.0") &amp; "," &amp;
 TEXT(AVERAGEIFS(Q:Q,D:D,"&gt;100"),"0.0") &amp; "," &amp;
 TEXT(AVERAGEIFS(R:R,D:D,"&gt;100"),"0.0")</f>
        <v>8.9,2.6,2.3</v>
      </c>
      <c r="Z2" s="13" t="str">
        <f>TEXT(AVERAGEIFS(M:M,D:D,"&gt;100",A:A,"数一"),"0.0") &amp; "," &amp;
 TEXT(AVERAGEIFS(N:N,D:D,"&gt;100",A:A,"数一"),"0.0") &amp; "," &amp;
 TEXT(AVERAGEIFS(O:O,D:D,"&gt;100",A:A,"数一"),"0.0")</f>
        <v>0.0,0.3,2.5</v>
      </c>
      <c r="AA2" s="13" t="str">
        <f>TEXT(AVERAGEIFS(P:P,D:D,"&gt;100",A:A,"数一"),"0.0") &amp; "," &amp;
 TEXT(AVERAGEIFS(Q:Q,D:D,"&gt;100",A:A,"数一"),"0.0") &amp; "," &amp;
 TEXT(AVERAGEIFS(R:R,D:D,"&gt;100",A:A,"数一"),"0.0")</f>
        <v>1.5,1.5,0.5</v>
      </c>
    </row>
    <row r="3" spans="1:27" ht="15" x14ac:dyDescent="0.3">
      <c r="A3" s="6" t="s">
        <v>22</v>
      </c>
      <c r="B3" s="6">
        <v>2024</v>
      </c>
      <c r="C3" s="1">
        <v>1</v>
      </c>
      <c r="D3" s="11">
        <v>141</v>
      </c>
      <c r="E3" s="1">
        <v>3.2</v>
      </c>
      <c r="F3" s="1">
        <v>135</v>
      </c>
      <c r="G3" s="1">
        <v>2</v>
      </c>
      <c r="H3" s="1">
        <v>4</v>
      </c>
      <c r="I3" s="1">
        <v>4</v>
      </c>
      <c r="J3" s="3">
        <v>5</v>
      </c>
      <c r="K3" s="1">
        <v>0</v>
      </c>
      <c r="L3" s="1">
        <v>0</v>
      </c>
      <c r="M3" s="4">
        <v>0</v>
      </c>
      <c r="N3" s="3">
        <v>5</v>
      </c>
      <c r="O3" s="3">
        <v>4</v>
      </c>
      <c r="P3" s="15">
        <v>0</v>
      </c>
      <c r="Q3" s="3">
        <v>4</v>
      </c>
      <c r="R3" s="16">
        <v>5</v>
      </c>
      <c r="S3" s="14" t="s">
        <v>23</v>
      </c>
      <c r="T3" s="19" t="s">
        <v>209</v>
      </c>
      <c r="Z3" s="21"/>
    </row>
    <row r="4" spans="1:27" ht="15" x14ac:dyDescent="0.3">
      <c r="A4" s="6" t="s">
        <v>24</v>
      </c>
      <c r="B4" s="6">
        <v>2024</v>
      </c>
      <c r="C4" s="1">
        <v>1</v>
      </c>
      <c r="D4" s="12">
        <v>123</v>
      </c>
      <c r="E4" s="1">
        <v>3.8</v>
      </c>
      <c r="F4" s="1">
        <v>123</v>
      </c>
      <c r="G4" s="1">
        <v>3</v>
      </c>
      <c r="H4" s="1">
        <v>3</v>
      </c>
      <c r="I4" s="3">
        <v>5</v>
      </c>
      <c r="J4" s="2">
        <v>11</v>
      </c>
      <c r="K4" s="1">
        <v>0</v>
      </c>
      <c r="L4" s="3">
        <v>6</v>
      </c>
      <c r="M4" s="2">
        <v>10</v>
      </c>
      <c r="N4" s="3">
        <v>5</v>
      </c>
      <c r="O4" s="3">
        <v>12</v>
      </c>
      <c r="P4" s="16">
        <v>13</v>
      </c>
      <c r="Q4" s="16">
        <v>5</v>
      </c>
      <c r="R4" s="16">
        <v>9</v>
      </c>
      <c r="S4" s="14" t="s">
        <v>25</v>
      </c>
      <c r="T4" s="19" t="s">
        <v>291</v>
      </c>
    </row>
    <row r="5" spans="1:27" ht="15" x14ac:dyDescent="0.3">
      <c r="A5" s="6" t="s">
        <v>26</v>
      </c>
      <c r="B5" s="6">
        <v>2024</v>
      </c>
      <c r="C5" s="1">
        <v>1</v>
      </c>
      <c r="D5" s="12">
        <v>122</v>
      </c>
      <c r="E5" s="1">
        <v>3.15</v>
      </c>
      <c r="F5" s="3">
        <v>162</v>
      </c>
      <c r="G5" s="2">
        <v>4</v>
      </c>
      <c r="H5" s="1">
        <v>3</v>
      </c>
      <c r="I5" s="3">
        <v>5</v>
      </c>
      <c r="J5" s="2">
        <v>18</v>
      </c>
      <c r="K5" s="1">
        <v>5</v>
      </c>
      <c r="L5" s="3">
        <v>8</v>
      </c>
      <c r="M5" s="2">
        <v>10</v>
      </c>
      <c r="N5" s="2">
        <v>10</v>
      </c>
      <c r="O5" s="3">
        <v>8</v>
      </c>
      <c r="P5" s="7">
        <v>18</v>
      </c>
      <c r="Q5" s="15">
        <v>0</v>
      </c>
      <c r="R5" s="16">
        <v>10</v>
      </c>
      <c r="S5" s="14" t="s">
        <v>27</v>
      </c>
      <c r="T5" s="19" t="s">
        <v>292</v>
      </c>
    </row>
    <row r="6" spans="1:27" ht="15" x14ac:dyDescent="0.3">
      <c r="A6" s="6" t="s">
        <v>28</v>
      </c>
      <c r="B6" s="6">
        <v>2024</v>
      </c>
      <c r="C6" s="1">
        <v>1</v>
      </c>
      <c r="D6" s="12">
        <v>131</v>
      </c>
      <c r="E6" s="1">
        <v>3.19</v>
      </c>
      <c r="F6" s="1">
        <v>144</v>
      </c>
      <c r="G6" s="1">
        <v>3</v>
      </c>
      <c r="H6" s="1">
        <v>3</v>
      </c>
      <c r="I6" s="2">
        <v>13</v>
      </c>
      <c r="J6" s="3">
        <v>6</v>
      </c>
      <c r="K6" s="1">
        <v>0</v>
      </c>
      <c r="L6" s="1">
        <v>5</v>
      </c>
      <c r="M6" s="4">
        <v>0</v>
      </c>
      <c r="N6" s="3">
        <v>5</v>
      </c>
      <c r="O6" s="3">
        <v>14</v>
      </c>
      <c r="P6" s="7">
        <v>17</v>
      </c>
      <c r="Q6" s="3">
        <v>2</v>
      </c>
      <c r="R6" s="15">
        <v>0</v>
      </c>
      <c r="S6" s="14" t="s">
        <v>29</v>
      </c>
      <c r="T6" s="19" t="s">
        <v>210</v>
      </c>
    </row>
    <row r="7" spans="1:27" ht="15" x14ac:dyDescent="0.3">
      <c r="A7" s="7" t="s">
        <v>30</v>
      </c>
      <c r="B7" s="6">
        <v>2024</v>
      </c>
      <c r="C7" s="1">
        <v>1</v>
      </c>
      <c r="D7" s="10">
        <v>112</v>
      </c>
      <c r="E7" s="1">
        <v>3.23</v>
      </c>
      <c r="F7" s="3">
        <v>165</v>
      </c>
      <c r="G7" s="1">
        <v>3</v>
      </c>
      <c r="H7" s="2">
        <v>2</v>
      </c>
      <c r="I7" s="2">
        <v>17</v>
      </c>
      <c r="J7" s="2">
        <v>11</v>
      </c>
      <c r="K7" s="1">
        <v>6</v>
      </c>
      <c r="L7" s="1">
        <v>5</v>
      </c>
      <c r="M7" s="3">
        <v>5</v>
      </c>
      <c r="N7" s="2">
        <v>20</v>
      </c>
      <c r="O7" s="3">
        <v>13</v>
      </c>
      <c r="P7" s="7">
        <v>31</v>
      </c>
      <c r="Q7" s="15">
        <v>0</v>
      </c>
      <c r="R7" s="16">
        <v>7</v>
      </c>
      <c r="S7" s="14" t="s">
        <v>32</v>
      </c>
      <c r="T7" s="19" t="s">
        <v>211</v>
      </c>
    </row>
    <row r="8" spans="1:27" ht="15" x14ac:dyDescent="0.3">
      <c r="A8" s="6" t="s">
        <v>34</v>
      </c>
      <c r="B8" s="6">
        <v>2024</v>
      </c>
      <c r="C8" s="1">
        <v>1</v>
      </c>
      <c r="D8" s="11">
        <v>145</v>
      </c>
      <c r="E8" s="1">
        <v>3.29</v>
      </c>
      <c r="F8" s="1">
        <v>122</v>
      </c>
      <c r="G8" s="1">
        <v>2</v>
      </c>
      <c r="H8" s="1">
        <v>4</v>
      </c>
      <c r="I8" s="3">
        <v>5</v>
      </c>
      <c r="J8" s="1">
        <v>0</v>
      </c>
      <c r="K8" s="1">
        <v>0</v>
      </c>
      <c r="L8" s="1">
        <v>0</v>
      </c>
      <c r="M8" s="4">
        <v>0</v>
      </c>
      <c r="N8" s="3">
        <v>5</v>
      </c>
      <c r="O8" s="4">
        <v>0</v>
      </c>
      <c r="P8" s="15">
        <v>5</v>
      </c>
      <c r="Q8" s="15">
        <v>0</v>
      </c>
      <c r="R8" s="15">
        <v>0</v>
      </c>
      <c r="S8" s="14" t="s">
        <v>31</v>
      </c>
      <c r="T8" s="19" t="s">
        <v>212</v>
      </c>
    </row>
    <row r="9" spans="1:27" ht="15" x14ac:dyDescent="0.3">
      <c r="A9" s="6" t="s">
        <v>35</v>
      </c>
      <c r="B9" s="6">
        <v>2024</v>
      </c>
      <c r="C9" s="1">
        <v>1</v>
      </c>
      <c r="D9" s="11">
        <v>146</v>
      </c>
      <c r="E9" s="1">
        <v>4.5999999999999996</v>
      </c>
      <c r="F9" s="1">
        <v>104</v>
      </c>
      <c r="G9" s="1">
        <v>2</v>
      </c>
      <c r="H9" s="1">
        <v>4</v>
      </c>
      <c r="I9" s="1">
        <v>4</v>
      </c>
      <c r="J9" s="1">
        <v>0</v>
      </c>
      <c r="K9" s="1">
        <v>0</v>
      </c>
      <c r="L9" s="1">
        <v>0</v>
      </c>
      <c r="M9" s="4">
        <v>0</v>
      </c>
      <c r="N9" s="4">
        <v>0</v>
      </c>
      <c r="O9" s="3">
        <v>4</v>
      </c>
      <c r="P9" s="15">
        <v>4</v>
      </c>
      <c r="Q9" s="15">
        <v>0</v>
      </c>
      <c r="R9" s="15">
        <v>0</v>
      </c>
      <c r="S9" s="14" t="s">
        <v>33</v>
      </c>
      <c r="T9" s="19" t="s">
        <v>213</v>
      </c>
    </row>
    <row r="10" spans="1:27" ht="15" x14ac:dyDescent="0.3">
      <c r="A10" s="6" t="s">
        <v>36</v>
      </c>
      <c r="B10" s="6">
        <v>2024</v>
      </c>
      <c r="C10" s="1">
        <v>1</v>
      </c>
      <c r="D10" s="12">
        <v>130</v>
      </c>
      <c r="E10" s="1">
        <v>4.1100000000000003</v>
      </c>
      <c r="F10" s="1">
        <v>148</v>
      </c>
      <c r="G10" s="1">
        <v>3</v>
      </c>
      <c r="H10" s="1">
        <v>4</v>
      </c>
      <c r="I10" s="1">
        <v>2</v>
      </c>
      <c r="J10" s="2">
        <v>18</v>
      </c>
      <c r="K10" s="1">
        <v>0</v>
      </c>
      <c r="L10" s="1">
        <v>5</v>
      </c>
      <c r="M10" s="3">
        <v>5</v>
      </c>
      <c r="N10" s="3">
        <v>5</v>
      </c>
      <c r="O10" s="3">
        <v>10</v>
      </c>
      <c r="P10" s="7">
        <v>20</v>
      </c>
      <c r="Q10" s="15">
        <v>0</v>
      </c>
      <c r="R10" s="15">
        <v>0</v>
      </c>
      <c r="S10" s="14" t="s">
        <v>55</v>
      </c>
      <c r="T10" s="19" t="s">
        <v>293</v>
      </c>
    </row>
    <row r="11" spans="1:27" ht="15" x14ac:dyDescent="0.3">
      <c r="A11" s="6" t="s">
        <v>37</v>
      </c>
      <c r="B11" s="6">
        <v>2024</v>
      </c>
      <c r="C11" s="1">
        <v>1</v>
      </c>
      <c r="D11" s="12">
        <v>133</v>
      </c>
      <c r="E11" s="1">
        <v>4.1900000000000004</v>
      </c>
      <c r="F11" s="1">
        <v>144</v>
      </c>
      <c r="G11" s="1">
        <v>3</v>
      </c>
      <c r="H11" s="1">
        <v>3</v>
      </c>
      <c r="I11" s="3">
        <v>5</v>
      </c>
      <c r="J11" s="1">
        <v>8</v>
      </c>
      <c r="K11" s="1">
        <v>0</v>
      </c>
      <c r="L11" s="1">
        <v>8</v>
      </c>
      <c r="M11" s="4">
        <v>0</v>
      </c>
      <c r="N11" s="3">
        <v>5</v>
      </c>
      <c r="O11" s="3">
        <v>12</v>
      </c>
      <c r="P11" s="16">
        <v>15</v>
      </c>
      <c r="Q11" s="15">
        <v>0</v>
      </c>
      <c r="R11" s="3">
        <v>2</v>
      </c>
      <c r="S11" s="14" t="s">
        <v>38</v>
      </c>
      <c r="T11" s="19" t="s">
        <v>214</v>
      </c>
    </row>
    <row r="12" spans="1:27" ht="15" x14ac:dyDescent="0.3">
      <c r="A12" s="17" t="s">
        <v>53</v>
      </c>
      <c r="B12" s="6">
        <v>2009</v>
      </c>
      <c r="C12" s="1">
        <v>1</v>
      </c>
      <c r="D12" s="11">
        <v>146</v>
      </c>
      <c r="E12" s="1">
        <v>4.22</v>
      </c>
      <c r="F12" s="1">
        <v>142</v>
      </c>
      <c r="G12" s="1">
        <v>2</v>
      </c>
      <c r="H12" s="1">
        <v>3</v>
      </c>
      <c r="I12" s="1">
        <v>4</v>
      </c>
      <c r="J12" s="1">
        <v>0</v>
      </c>
      <c r="K12" s="1">
        <v>0</v>
      </c>
      <c r="L12" s="1">
        <v>0</v>
      </c>
      <c r="M12" s="4">
        <v>0</v>
      </c>
      <c r="N12" s="4">
        <v>0</v>
      </c>
      <c r="O12" s="4">
        <v>4</v>
      </c>
      <c r="P12" s="15">
        <v>4</v>
      </c>
      <c r="Q12" s="15">
        <v>0</v>
      </c>
      <c r="R12" s="15">
        <v>0</v>
      </c>
      <c r="S12" s="14" t="s">
        <v>108</v>
      </c>
      <c r="T12" s="19" t="s">
        <v>215</v>
      </c>
    </row>
    <row r="13" spans="1:27" ht="15" x14ac:dyDescent="0.3">
      <c r="A13" s="7" t="s">
        <v>39</v>
      </c>
      <c r="B13" s="6">
        <v>2024</v>
      </c>
      <c r="C13" s="1">
        <v>1</v>
      </c>
      <c r="D13" s="12">
        <v>118</v>
      </c>
      <c r="E13" s="1">
        <v>4.28</v>
      </c>
      <c r="F13" s="3">
        <v>164</v>
      </c>
      <c r="G13" s="2">
        <v>4</v>
      </c>
      <c r="H13" s="1">
        <v>4</v>
      </c>
      <c r="I13" s="1">
        <v>2</v>
      </c>
      <c r="J13" s="2">
        <v>30</v>
      </c>
      <c r="K13" s="2">
        <v>12</v>
      </c>
      <c r="L13" s="2">
        <v>10</v>
      </c>
      <c r="M13" s="4">
        <v>0</v>
      </c>
      <c r="N13" s="4">
        <v>0</v>
      </c>
      <c r="O13" s="2">
        <v>32</v>
      </c>
      <c r="P13" s="7">
        <v>32</v>
      </c>
      <c r="Q13" s="15">
        <v>0</v>
      </c>
      <c r="R13" s="15">
        <v>0</v>
      </c>
      <c r="S13" s="14" t="s">
        <v>29</v>
      </c>
      <c r="T13" s="19" t="s">
        <v>216</v>
      </c>
    </row>
    <row r="14" spans="1:27" ht="15" x14ac:dyDescent="0.3">
      <c r="A14" s="6" t="s">
        <v>40</v>
      </c>
      <c r="B14" s="6">
        <v>2024</v>
      </c>
      <c r="C14" s="1">
        <v>1</v>
      </c>
      <c r="D14" s="11">
        <v>143</v>
      </c>
      <c r="E14" s="1">
        <v>5.9</v>
      </c>
      <c r="F14" s="3">
        <v>150</v>
      </c>
      <c r="G14" s="1">
        <v>3</v>
      </c>
      <c r="H14" s="2">
        <v>2</v>
      </c>
      <c r="I14" s="3">
        <v>5</v>
      </c>
      <c r="J14" s="1">
        <v>0</v>
      </c>
      <c r="K14" s="1">
        <v>0</v>
      </c>
      <c r="L14" s="1">
        <v>0</v>
      </c>
      <c r="M14" s="4">
        <v>0</v>
      </c>
      <c r="N14" s="3">
        <v>5</v>
      </c>
      <c r="O14" s="3">
        <v>2</v>
      </c>
      <c r="P14" s="3">
        <v>7</v>
      </c>
      <c r="Q14" s="15">
        <v>0</v>
      </c>
      <c r="R14" s="15">
        <v>0</v>
      </c>
      <c r="S14" s="14" t="s">
        <v>41</v>
      </c>
      <c r="T14" s="19" t="s">
        <v>217</v>
      </c>
    </row>
    <row r="15" spans="1:27" ht="15" x14ac:dyDescent="0.3">
      <c r="A15" s="17" t="s">
        <v>70</v>
      </c>
      <c r="B15" s="6">
        <v>2010</v>
      </c>
      <c r="C15" s="1">
        <v>1</v>
      </c>
      <c r="D15" s="11">
        <v>144</v>
      </c>
      <c r="E15" s="1">
        <v>5.12</v>
      </c>
      <c r="F15" s="1">
        <v>119</v>
      </c>
      <c r="G15" s="1">
        <v>3</v>
      </c>
      <c r="H15" s="1">
        <v>3</v>
      </c>
      <c r="I15" s="3">
        <v>6</v>
      </c>
      <c r="J15" s="1">
        <v>0</v>
      </c>
      <c r="K15" s="1">
        <v>0</v>
      </c>
      <c r="L15" s="1">
        <v>0</v>
      </c>
      <c r="M15" s="4">
        <v>0</v>
      </c>
      <c r="N15" s="4">
        <v>0</v>
      </c>
      <c r="O15" s="3">
        <v>6</v>
      </c>
      <c r="P15" s="15">
        <v>0</v>
      </c>
      <c r="Q15" s="15">
        <v>0</v>
      </c>
      <c r="R15" s="16">
        <v>6</v>
      </c>
      <c r="S15" s="14" t="s">
        <v>42</v>
      </c>
      <c r="T15" s="19" t="s">
        <v>218</v>
      </c>
    </row>
    <row r="16" spans="1:27" ht="15" x14ac:dyDescent="0.3">
      <c r="A16" s="17" t="s">
        <v>70</v>
      </c>
      <c r="B16" s="6">
        <v>2011</v>
      </c>
      <c r="C16" s="1">
        <v>1</v>
      </c>
      <c r="D16" s="10">
        <v>141</v>
      </c>
      <c r="E16" s="1">
        <v>5.16</v>
      </c>
      <c r="F16" s="1">
        <v>113</v>
      </c>
      <c r="G16" s="1">
        <v>2</v>
      </c>
      <c r="H16" s="1">
        <v>3</v>
      </c>
      <c r="I16" s="2">
        <v>9</v>
      </c>
      <c r="J16" s="1">
        <v>0</v>
      </c>
      <c r="K16" s="1">
        <v>0</v>
      </c>
      <c r="L16" s="1">
        <v>0</v>
      </c>
      <c r="M16" s="4">
        <v>0</v>
      </c>
      <c r="N16" s="4">
        <v>0</v>
      </c>
      <c r="O16" s="4">
        <v>0</v>
      </c>
      <c r="P16" s="15">
        <v>0</v>
      </c>
      <c r="Q16" s="7">
        <v>9</v>
      </c>
      <c r="R16" s="15">
        <v>0</v>
      </c>
      <c r="S16" s="14" t="s">
        <v>43</v>
      </c>
      <c r="T16" s="19" t="s">
        <v>219</v>
      </c>
    </row>
    <row r="17" spans="1:20" ht="15" x14ac:dyDescent="0.3">
      <c r="A17" s="6" t="s">
        <v>69</v>
      </c>
      <c r="B17" s="6">
        <v>2024</v>
      </c>
      <c r="C17" s="1">
        <v>1</v>
      </c>
      <c r="D17" s="11">
        <v>150</v>
      </c>
      <c r="E17" s="1">
        <v>6.8</v>
      </c>
      <c r="F17" s="1">
        <v>120</v>
      </c>
      <c r="G17" s="1">
        <v>2</v>
      </c>
      <c r="H17" s="1">
        <v>3</v>
      </c>
      <c r="I17" s="1">
        <v>0</v>
      </c>
      <c r="J17" s="1">
        <v>0</v>
      </c>
      <c r="K17" s="1">
        <v>0</v>
      </c>
      <c r="L17" s="1">
        <v>0</v>
      </c>
      <c r="M17" s="4">
        <v>0</v>
      </c>
      <c r="N17" s="4">
        <v>0</v>
      </c>
      <c r="O17" s="4">
        <v>0</v>
      </c>
      <c r="P17" s="15">
        <v>0</v>
      </c>
      <c r="Q17" s="15">
        <v>0</v>
      </c>
      <c r="R17" s="15">
        <v>0</v>
      </c>
      <c r="S17" s="14"/>
      <c r="T17" s="19" t="s">
        <v>220</v>
      </c>
    </row>
    <row r="18" spans="1:20" ht="15" x14ac:dyDescent="0.3">
      <c r="A18" s="6" t="s">
        <v>44</v>
      </c>
      <c r="B18" s="6">
        <v>2023</v>
      </c>
      <c r="C18" s="1">
        <v>1</v>
      </c>
      <c r="D18" s="11">
        <v>143</v>
      </c>
      <c r="E18" s="8">
        <v>6.15</v>
      </c>
      <c r="F18" s="3">
        <v>165</v>
      </c>
      <c r="G18" s="2">
        <v>4</v>
      </c>
      <c r="H18" s="1">
        <v>4</v>
      </c>
      <c r="I18" s="1">
        <v>0</v>
      </c>
      <c r="J18" s="1">
        <v>0</v>
      </c>
      <c r="K18" s="1">
        <v>0</v>
      </c>
      <c r="L18" s="1">
        <v>0</v>
      </c>
      <c r="M18" s="3">
        <v>5</v>
      </c>
      <c r="N18" s="4">
        <v>0</v>
      </c>
      <c r="O18" s="3">
        <v>2</v>
      </c>
      <c r="P18" s="15">
        <v>0</v>
      </c>
      <c r="Q18" s="7">
        <v>7</v>
      </c>
      <c r="R18" s="15">
        <v>0</v>
      </c>
      <c r="S18" s="14" t="s">
        <v>45</v>
      </c>
      <c r="T18" s="19" t="s">
        <v>221</v>
      </c>
    </row>
    <row r="19" spans="1:20" ht="15" x14ac:dyDescent="0.3">
      <c r="A19" s="17" t="s">
        <v>53</v>
      </c>
      <c r="B19" s="6">
        <v>2012</v>
      </c>
      <c r="C19" s="1">
        <v>1</v>
      </c>
      <c r="D19" s="11">
        <v>150</v>
      </c>
      <c r="E19" s="8">
        <v>6.22</v>
      </c>
      <c r="F19" s="1">
        <v>128</v>
      </c>
      <c r="G19" s="1">
        <v>3</v>
      </c>
      <c r="H19" s="1">
        <v>3</v>
      </c>
      <c r="I19" s="1">
        <v>0</v>
      </c>
      <c r="J19" s="1">
        <v>0</v>
      </c>
      <c r="K19" s="1">
        <v>0</v>
      </c>
      <c r="L19" s="1">
        <v>0</v>
      </c>
      <c r="M19" s="4">
        <v>0</v>
      </c>
      <c r="N19" s="4">
        <v>0</v>
      </c>
      <c r="O19" s="4">
        <v>0</v>
      </c>
      <c r="P19" s="15">
        <v>0</v>
      </c>
      <c r="Q19" s="15">
        <v>0</v>
      </c>
      <c r="R19" s="15">
        <v>0</v>
      </c>
      <c r="S19" s="14"/>
      <c r="T19" s="19" t="s">
        <v>222</v>
      </c>
    </row>
    <row r="20" spans="1:20" ht="15" x14ac:dyDescent="0.3">
      <c r="A20" s="17" t="s">
        <v>53</v>
      </c>
      <c r="B20" s="6">
        <v>2013</v>
      </c>
      <c r="C20" s="1">
        <v>1</v>
      </c>
      <c r="D20" s="11">
        <v>148</v>
      </c>
      <c r="E20" s="8">
        <v>6.28</v>
      </c>
      <c r="F20" s="4">
        <v>87</v>
      </c>
      <c r="G20" s="1">
        <v>2</v>
      </c>
      <c r="H20" s="2">
        <v>2</v>
      </c>
      <c r="I20" s="1">
        <v>0</v>
      </c>
      <c r="J20" s="1">
        <v>0</v>
      </c>
      <c r="K20" s="1">
        <v>0</v>
      </c>
      <c r="L20" s="1">
        <v>0</v>
      </c>
      <c r="M20" s="4">
        <v>0</v>
      </c>
      <c r="N20" s="4">
        <v>0</v>
      </c>
      <c r="O20" s="3">
        <v>2</v>
      </c>
      <c r="P20" s="3">
        <v>2</v>
      </c>
      <c r="Q20" s="15">
        <v>0</v>
      </c>
      <c r="R20" s="15">
        <v>0</v>
      </c>
      <c r="S20" s="14" t="s">
        <v>46</v>
      </c>
      <c r="T20" s="19" t="s">
        <v>223</v>
      </c>
    </row>
    <row r="21" spans="1:20" ht="15" x14ac:dyDescent="0.3">
      <c r="A21" s="6" t="s">
        <v>47</v>
      </c>
      <c r="B21" s="6">
        <v>2024</v>
      </c>
      <c r="C21" s="1">
        <v>1</v>
      </c>
      <c r="D21" s="11">
        <v>143</v>
      </c>
      <c r="E21" s="8" t="s">
        <v>48</v>
      </c>
      <c r="F21" s="4">
        <v>62</v>
      </c>
      <c r="G21" s="1">
        <v>2</v>
      </c>
      <c r="H21" s="1">
        <v>3</v>
      </c>
      <c r="I21" s="3">
        <v>5</v>
      </c>
      <c r="J21" s="1">
        <v>0</v>
      </c>
      <c r="K21" s="1">
        <v>0</v>
      </c>
      <c r="L21" s="1">
        <v>0</v>
      </c>
      <c r="M21" s="3">
        <v>5</v>
      </c>
      <c r="N21" s="4">
        <v>0</v>
      </c>
      <c r="O21" s="3">
        <v>2</v>
      </c>
      <c r="P21" s="3">
        <v>2</v>
      </c>
      <c r="Q21" s="16">
        <v>5</v>
      </c>
      <c r="R21" s="15">
        <v>0</v>
      </c>
      <c r="S21" s="14" t="s">
        <v>49</v>
      </c>
      <c r="T21" s="19" t="s">
        <v>224</v>
      </c>
    </row>
    <row r="22" spans="1:20" ht="15" x14ac:dyDescent="0.3">
      <c r="A22" s="6" t="s">
        <v>50</v>
      </c>
      <c r="B22" s="6">
        <v>2023</v>
      </c>
      <c r="C22" s="1">
        <v>1</v>
      </c>
      <c r="D22" s="11">
        <v>140</v>
      </c>
      <c r="E22" s="1" t="s">
        <v>51</v>
      </c>
      <c r="F22" s="4">
        <v>65</v>
      </c>
      <c r="G22" s="1">
        <v>3</v>
      </c>
      <c r="H22" s="1">
        <v>3</v>
      </c>
      <c r="I22" s="3">
        <v>5</v>
      </c>
      <c r="J22" s="1">
        <v>0</v>
      </c>
      <c r="K22" s="1">
        <v>0</v>
      </c>
      <c r="L22" s="1">
        <v>0</v>
      </c>
      <c r="M22" s="3">
        <v>5</v>
      </c>
      <c r="N22" s="3">
        <v>5</v>
      </c>
      <c r="O22" s="4">
        <v>0</v>
      </c>
      <c r="P22" s="2">
        <v>10</v>
      </c>
      <c r="Q22" s="15">
        <v>0</v>
      </c>
      <c r="R22" s="15">
        <v>0</v>
      </c>
      <c r="S22" s="14" t="s">
        <v>52</v>
      </c>
      <c r="T22" s="19" t="s">
        <v>225</v>
      </c>
    </row>
    <row r="23" spans="1:20" ht="15" x14ac:dyDescent="0.3">
      <c r="A23" s="17" t="s">
        <v>53</v>
      </c>
      <c r="B23" s="6">
        <v>2014</v>
      </c>
      <c r="C23" s="1">
        <v>1</v>
      </c>
      <c r="D23" s="11">
        <v>144</v>
      </c>
      <c r="E23" s="8" t="s">
        <v>54</v>
      </c>
      <c r="F23" s="1">
        <v>141</v>
      </c>
      <c r="G23" s="1">
        <v>3</v>
      </c>
      <c r="H23" s="1">
        <v>3</v>
      </c>
      <c r="I23" s="3">
        <v>6</v>
      </c>
      <c r="J23" s="1">
        <v>0</v>
      </c>
      <c r="K23" s="1">
        <v>0</v>
      </c>
      <c r="L23" s="1">
        <v>0</v>
      </c>
      <c r="M23" s="4">
        <v>0</v>
      </c>
      <c r="N23" s="4">
        <v>0</v>
      </c>
      <c r="O23" s="3">
        <v>6</v>
      </c>
      <c r="P23" s="15">
        <v>0</v>
      </c>
      <c r="Q23" s="16">
        <v>5</v>
      </c>
      <c r="R23" s="3">
        <v>1</v>
      </c>
      <c r="S23" s="14" t="s">
        <v>56</v>
      </c>
      <c r="T23" s="19" t="s">
        <v>226</v>
      </c>
    </row>
    <row r="24" spans="1:20" ht="15" x14ac:dyDescent="0.3">
      <c r="A24" s="2" t="s">
        <v>71</v>
      </c>
      <c r="B24" s="6">
        <v>2025</v>
      </c>
      <c r="C24" s="1">
        <v>1</v>
      </c>
      <c r="D24" s="10">
        <v>110</v>
      </c>
      <c r="E24" s="1">
        <v>7.14</v>
      </c>
      <c r="F24" s="3">
        <v>179</v>
      </c>
      <c r="G24" s="2">
        <v>5</v>
      </c>
      <c r="H24" s="1">
        <v>4</v>
      </c>
      <c r="I24" s="1">
        <v>2</v>
      </c>
      <c r="J24" s="2">
        <v>22</v>
      </c>
      <c r="K24" s="2">
        <v>20</v>
      </c>
      <c r="L24" s="2">
        <v>32</v>
      </c>
      <c r="M24" s="2">
        <v>15</v>
      </c>
      <c r="N24" s="3">
        <v>5</v>
      </c>
      <c r="O24" s="2">
        <v>20</v>
      </c>
      <c r="P24" s="7">
        <v>19</v>
      </c>
      <c r="Q24" s="7">
        <v>10</v>
      </c>
      <c r="R24" s="7">
        <v>11</v>
      </c>
      <c r="S24" s="14" t="s">
        <v>57</v>
      </c>
      <c r="T24" s="19" t="s">
        <v>227</v>
      </c>
    </row>
    <row r="25" spans="1:20" ht="15" x14ac:dyDescent="0.3">
      <c r="A25" s="2" t="s">
        <v>59</v>
      </c>
      <c r="B25" s="1">
        <v>2025</v>
      </c>
      <c r="C25" s="1">
        <v>1</v>
      </c>
      <c r="D25" s="10">
        <v>122</v>
      </c>
      <c r="E25" s="1">
        <v>7.16</v>
      </c>
      <c r="F25" s="3">
        <v>175</v>
      </c>
      <c r="G25" s="2">
        <v>4</v>
      </c>
      <c r="H25" s="1">
        <v>3</v>
      </c>
      <c r="I25" s="1">
        <v>9</v>
      </c>
      <c r="J25" s="2">
        <v>19</v>
      </c>
      <c r="K25" s="2">
        <v>17</v>
      </c>
      <c r="L25" s="2">
        <v>20</v>
      </c>
      <c r="M25" s="3">
        <v>5</v>
      </c>
      <c r="N25" s="3">
        <v>5</v>
      </c>
      <c r="O25" s="2">
        <v>18</v>
      </c>
      <c r="P25" s="7">
        <v>19</v>
      </c>
      <c r="Q25" s="7">
        <v>7</v>
      </c>
      <c r="R25" s="3">
        <v>2</v>
      </c>
      <c r="S25" s="14" t="s">
        <v>58</v>
      </c>
      <c r="T25" s="19" t="s">
        <v>228</v>
      </c>
    </row>
    <row r="26" spans="1:20" ht="15" x14ac:dyDescent="0.3">
      <c r="A26" s="6" t="s">
        <v>60</v>
      </c>
      <c r="B26" s="1">
        <v>2025</v>
      </c>
      <c r="C26" s="1">
        <v>1</v>
      </c>
      <c r="D26" s="11">
        <v>145</v>
      </c>
      <c r="E26" s="1">
        <v>7.19</v>
      </c>
      <c r="F26" s="1">
        <v>139</v>
      </c>
      <c r="G26" s="1">
        <v>3</v>
      </c>
      <c r="H26" s="1">
        <v>3</v>
      </c>
      <c r="I26" s="1">
        <v>5</v>
      </c>
      <c r="J26" s="1">
        <v>0</v>
      </c>
      <c r="K26" s="1">
        <v>0</v>
      </c>
      <c r="L26" s="1">
        <v>0</v>
      </c>
      <c r="M26" s="3">
        <v>5</v>
      </c>
      <c r="N26" s="4">
        <v>0</v>
      </c>
      <c r="O26" s="4">
        <v>0</v>
      </c>
      <c r="P26" s="3">
        <v>5</v>
      </c>
      <c r="Q26" s="15">
        <v>0</v>
      </c>
      <c r="R26" s="15">
        <v>0</v>
      </c>
      <c r="S26" s="14" t="s">
        <v>61</v>
      </c>
      <c r="T26" s="19" t="s">
        <v>294</v>
      </c>
    </row>
    <row r="27" spans="1:20" ht="15" x14ac:dyDescent="0.3">
      <c r="A27" s="2" t="s">
        <v>62</v>
      </c>
      <c r="B27" s="1">
        <v>2025</v>
      </c>
      <c r="C27" s="1">
        <v>1</v>
      </c>
      <c r="D27" s="10">
        <v>119</v>
      </c>
      <c r="E27" s="1">
        <v>7.26</v>
      </c>
      <c r="F27" s="3">
        <v>171</v>
      </c>
      <c r="G27" s="2">
        <v>4</v>
      </c>
      <c r="H27" s="1">
        <v>3</v>
      </c>
      <c r="I27" s="3">
        <v>7</v>
      </c>
      <c r="J27" s="2">
        <v>11</v>
      </c>
      <c r="K27" s="2">
        <v>12</v>
      </c>
      <c r="L27" s="2">
        <v>34</v>
      </c>
      <c r="M27" s="2">
        <v>10</v>
      </c>
      <c r="N27" s="3">
        <v>5</v>
      </c>
      <c r="O27" s="2">
        <v>16</v>
      </c>
      <c r="P27" s="7">
        <v>18</v>
      </c>
      <c r="Q27" s="3">
        <v>5</v>
      </c>
      <c r="R27" s="7">
        <v>6</v>
      </c>
      <c r="S27" s="14" t="s">
        <v>63</v>
      </c>
      <c r="T27" s="19" t="s">
        <v>229</v>
      </c>
    </row>
    <row r="28" spans="1:20" ht="15" x14ac:dyDescent="0.3">
      <c r="A28" s="17" t="s">
        <v>53</v>
      </c>
      <c r="B28" s="1">
        <v>2015</v>
      </c>
      <c r="C28" s="1">
        <v>1</v>
      </c>
      <c r="D28" s="11">
        <v>147</v>
      </c>
      <c r="E28" s="1">
        <v>8.3000000000000007</v>
      </c>
      <c r="F28" s="1">
        <v>100</v>
      </c>
      <c r="G28" s="1">
        <v>2</v>
      </c>
      <c r="H28" s="1">
        <v>3</v>
      </c>
      <c r="I28" s="1">
        <v>3</v>
      </c>
      <c r="J28" s="1">
        <v>0</v>
      </c>
      <c r="K28" s="1">
        <v>0</v>
      </c>
      <c r="L28" s="1">
        <v>0</v>
      </c>
      <c r="M28" s="4">
        <v>0</v>
      </c>
      <c r="N28" s="4">
        <v>0</v>
      </c>
      <c r="O28" s="3">
        <v>3</v>
      </c>
      <c r="P28" s="15">
        <v>0</v>
      </c>
      <c r="Q28" s="3">
        <v>2</v>
      </c>
      <c r="R28" s="3">
        <v>1</v>
      </c>
      <c r="S28" s="14" t="s">
        <v>64</v>
      </c>
      <c r="T28" s="19" t="s">
        <v>230</v>
      </c>
    </row>
    <row r="29" spans="1:20" ht="15" x14ac:dyDescent="0.3">
      <c r="A29" s="17" t="s">
        <v>53</v>
      </c>
      <c r="B29" s="1">
        <v>2016</v>
      </c>
      <c r="C29" s="1">
        <v>1</v>
      </c>
      <c r="D29" s="11">
        <v>145</v>
      </c>
      <c r="E29" s="1">
        <v>8.6999999999999993</v>
      </c>
      <c r="F29" s="3">
        <v>155</v>
      </c>
      <c r="G29" s="1">
        <v>3</v>
      </c>
      <c r="H29" s="1">
        <v>3</v>
      </c>
      <c r="I29" s="3">
        <v>5</v>
      </c>
      <c r="J29" s="1">
        <v>0</v>
      </c>
      <c r="K29" s="1">
        <v>0</v>
      </c>
      <c r="L29" s="1">
        <v>0</v>
      </c>
      <c r="M29" s="4">
        <v>0</v>
      </c>
      <c r="N29" s="3">
        <v>5</v>
      </c>
      <c r="O29" s="4">
        <v>0</v>
      </c>
      <c r="P29" s="3">
        <v>5</v>
      </c>
      <c r="Q29" s="15">
        <v>0</v>
      </c>
      <c r="R29" s="15">
        <v>0</v>
      </c>
      <c r="S29" s="14" t="s">
        <v>65</v>
      </c>
      <c r="T29" s="19" t="s">
        <v>295</v>
      </c>
    </row>
    <row r="30" spans="1:20" ht="15" x14ac:dyDescent="0.3">
      <c r="A30" s="1" t="s">
        <v>66</v>
      </c>
      <c r="B30" s="1">
        <v>2025</v>
      </c>
      <c r="C30" s="1">
        <v>1</v>
      </c>
      <c r="D30" s="11">
        <v>140</v>
      </c>
      <c r="E30" s="1">
        <v>8.1199999999999992</v>
      </c>
      <c r="F30" s="3">
        <v>155</v>
      </c>
      <c r="G30" s="2">
        <v>4</v>
      </c>
      <c r="H30" s="1">
        <v>3</v>
      </c>
      <c r="I30" s="1">
        <v>2</v>
      </c>
      <c r="J30" s="1">
        <v>0</v>
      </c>
      <c r="K30" s="1">
        <v>0</v>
      </c>
      <c r="L30" s="1">
        <v>0</v>
      </c>
      <c r="M30" s="4">
        <v>0</v>
      </c>
      <c r="N30" s="4">
        <v>0</v>
      </c>
      <c r="O30" s="2">
        <v>10</v>
      </c>
      <c r="P30" s="2">
        <v>10</v>
      </c>
      <c r="Q30" s="4">
        <v>0</v>
      </c>
      <c r="R30" s="4">
        <v>0</v>
      </c>
      <c r="S30" s="14" t="s">
        <v>67</v>
      </c>
      <c r="T30" s="19" t="s">
        <v>231</v>
      </c>
    </row>
    <row r="31" spans="1:20" ht="15" x14ac:dyDescent="0.3">
      <c r="A31" s="17" t="s">
        <v>72</v>
      </c>
      <c r="B31" s="1">
        <v>2017</v>
      </c>
      <c r="C31" s="1">
        <v>1</v>
      </c>
      <c r="D31" s="11">
        <v>150</v>
      </c>
      <c r="E31" s="1">
        <v>8.14</v>
      </c>
      <c r="F31" s="1">
        <v>81</v>
      </c>
      <c r="G31" s="4">
        <v>1</v>
      </c>
      <c r="H31" s="1">
        <v>4</v>
      </c>
      <c r="I31" s="1">
        <v>0</v>
      </c>
      <c r="J31" s="1">
        <v>0</v>
      </c>
      <c r="K31" s="1">
        <v>0</v>
      </c>
      <c r="L31" s="1">
        <v>0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4">
        <v>0</v>
      </c>
      <c r="S31" s="14"/>
      <c r="T31" s="19" t="s">
        <v>232</v>
      </c>
    </row>
    <row r="32" spans="1:20" ht="15" x14ac:dyDescent="0.3">
      <c r="A32" s="17" t="s">
        <v>53</v>
      </c>
      <c r="B32" s="1">
        <v>2018</v>
      </c>
      <c r="C32" s="1">
        <v>1</v>
      </c>
      <c r="D32" s="10">
        <v>141</v>
      </c>
      <c r="E32" s="1">
        <v>8.16</v>
      </c>
      <c r="F32" s="3">
        <v>154</v>
      </c>
      <c r="G32" s="1">
        <v>3</v>
      </c>
      <c r="H32" s="1">
        <v>3</v>
      </c>
      <c r="I32" s="1">
        <v>3</v>
      </c>
      <c r="J32" s="1">
        <v>0</v>
      </c>
      <c r="K32" s="1">
        <v>0</v>
      </c>
      <c r="L32" s="1">
        <v>0</v>
      </c>
      <c r="M32" s="4">
        <v>0</v>
      </c>
      <c r="N32" s="4">
        <v>0</v>
      </c>
      <c r="O32" s="3">
        <v>9</v>
      </c>
      <c r="P32" s="3">
        <v>3</v>
      </c>
      <c r="Q32" s="2">
        <v>6</v>
      </c>
      <c r="R32" s="4">
        <v>0</v>
      </c>
      <c r="S32" s="14" t="s">
        <v>68</v>
      </c>
      <c r="T32" s="19" t="s">
        <v>233</v>
      </c>
    </row>
    <row r="33" spans="1:20" ht="15" x14ac:dyDescent="0.3">
      <c r="A33" s="2" t="s">
        <v>73</v>
      </c>
      <c r="B33" s="1">
        <v>2025</v>
      </c>
      <c r="C33" s="1">
        <v>1</v>
      </c>
      <c r="D33" s="10">
        <v>121</v>
      </c>
      <c r="E33" s="1">
        <v>8.19</v>
      </c>
      <c r="F33" s="1">
        <v>141</v>
      </c>
      <c r="G33" s="1">
        <v>3</v>
      </c>
      <c r="H33" s="1">
        <v>3</v>
      </c>
      <c r="I33" s="2">
        <v>10</v>
      </c>
      <c r="J33" s="3">
        <v>6</v>
      </c>
      <c r="K33" s="1">
        <v>0</v>
      </c>
      <c r="L33" s="1">
        <v>0</v>
      </c>
      <c r="M33" s="3">
        <v>5</v>
      </c>
      <c r="N33" s="2">
        <v>10</v>
      </c>
      <c r="O33" s="2">
        <v>14</v>
      </c>
      <c r="P33" s="2">
        <v>22</v>
      </c>
      <c r="Q33" s="3">
        <v>5</v>
      </c>
      <c r="R33" s="3">
        <v>2</v>
      </c>
      <c r="S33" s="14" t="s">
        <v>74</v>
      </c>
      <c r="T33" s="19" t="s">
        <v>234</v>
      </c>
    </row>
    <row r="34" spans="1:20" ht="15" x14ac:dyDescent="0.3">
      <c r="A34" s="17" t="s">
        <v>70</v>
      </c>
      <c r="B34" s="1">
        <v>2019</v>
      </c>
      <c r="C34" s="1">
        <v>1</v>
      </c>
      <c r="D34" s="11">
        <v>148</v>
      </c>
      <c r="E34" s="1">
        <v>8.2100000000000009</v>
      </c>
      <c r="F34" s="1">
        <v>126</v>
      </c>
      <c r="G34" s="1">
        <v>2</v>
      </c>
      <c r="H34" s="1">
        <v>3</v>
      </c>
      <c r="I34" s="1">
        <v>0</v>
      </c>
      <c r="J34" s="1">
        <v>0</v>
      </c>
      <c r="K34" s="1">
        <v>0</v>
      </c>
      <c r="L34" s="1">
        <v>0</v>
      </c>
      <c r="M34" s="4">
        <v>0</v>
      </c>
      <c r="N34" s="4">
        <v>0</v>
      </c>
      <c r="O34" s="3">
        <v>2</v>
      </c>
      <c r="P34" s="3">
        <v>2</v>
      </c>
      <c r="Q34" s="4">
        <v>0</v>
      </c>
      <c r="R34" s="4">
        <v>0</v>
      </c>
      <c r="S34" s="14" t="s">
        <v>75</v>
      </c>
      <c r="T34" s="19" t="s">
        <v>235</v>
      </c>
    </row>
    <row r="35" spans="1:20" ht="15" x14ac:dyDescent="0.3">
      <c r="A35" s="17" t="s">
        <v>70</v>
      </c>
      <c r="B35" s="1">
        <v>2020</v>
      </c>
      <c r="C35" s="1">
        <v>1</v>
      </c>
      <c r="D35" s="11">
        <v>150</v>
      </c>
      <c r="E35" s="1">
        <v>8.2200000000000006</v>
      </c>
      <c r="F35" s="1">
        <v>140</v>
      </c>
      <c r="G35" s="1">
        <v>2</v>
      </c>
      <c r="H35" s="1">
        <v>4</v>
      </c>
      <c r="I35" s="1">
        <v>0</v>
      </c>
      <c r="J35" s="1">
        <v>0</v>
      </c>
      <c r="K35" s="1">
        <v>0</v>
      </c>
      <c r="L35" s="1">
        <v>0</v>
      </c>
      <c r="M35" s="4">
        <v>0</v>
      </c>
      <c r="N35" s="4">
        <v>0</v>
      </c>
      <c r="O35" s="4">
        <v>0</v>
      </c>
      <c r="P35" s="4">
        <v>0</v>
      </c>
      <c r="Q35" s="4">
        <v>0</v>
      </c>
      <c r="R35" s="4">
        <v>0</v>
      </c>
      <c r="S35" s="14"/>
      <c r="T35" s="19" t="s">
        <v>236</v>
      </c>
    </row>
    <row r="36" spans="1:20" ht="15" x14ac:dyDescent="0.3">
      <c r="A36" s="1" t="s">
        <v>76</v>
      </c>
      <c r="B36" s="1">
        <v>2024</v>
      </c>
      <c r="C36" s="1">
        <v>1</v>
      </c>
      <c r="D36" s="11">
        <v>142</v>
      </c>
      <c r="E36" s="1">
        <v>8.27</v>
      </c>
      <c r="F36" s="1">
        <v>128</v>
      </c>
      <c r="G36" s="1">
        <v>2</v>
      </c>
      <c r="H36" s="1">
        <v>3</v>
      </c>
      <c r="I36" s="1">
        <v>0</v>
      </c>
      <c r="J36" s="1">
        <v>0</v>
      </c>
      <c r="K36" s="1">
        <v>0</v>
      </c>
      <c r="L36" s="1">
        <v>0</v>
      </c>
      <c r="M36" s="4">
        <v>0</v>
      </c>
      <c r="N36" s="4">
        <v>0</v>
      </c>
      <c r="O36" s="3">
        <v>8</v>
      </c>
      <c r="P36" s="3">
        <v>8</v>
      </c>
      <c r="Q36" s="4">
        <v>0</v>
      </c>
      <c r="R36" s="4">
        <v>0</v>
      </c>
      <c r="S36" s="14" t="s">
        <v>78</v>
      </c>
      <c r="T36" s="19" t="s">
        <v>237</v>
      </c>
    </row>
    <row r="37" spans="1:20" ht="15" x14ac:dyDescent="0.3">
      <c r="A37" s="1" t="s">
        <v>77</v>
      </c>
      <c r="B37" s="1">
        <v>2025</v>
      </c>
      <c r="C37" s="1">
        <v>1</v>
      </c>
      <c r="D37" s="11">
        <v>140</v>
      </c>
      <c r="E37" s="1">
        <v>8.2799999999999994</v>
      </c>
      <c r="F37" s="1">
        <v>142</v>
      </c>
      <c r="G37" s="1">
        <v>3</v>
      </c>
      <c r="H37" s="1">
        <v>4</v>
      </c>
      <c r="I37" s="1">
        <v>0</v>
      </c>
      <c r="J37" s="1">
        <v>0</v>
      </c>
      <c r="K37" s="1">
        <v>0</v>
      </c>
      <c r="L37" s="1">
        <v>0</v>
      </c>
      <c r="M37" s="3">
        <v>5</v>
      </c>
      <c r="N37" s="3">
        <v>5</v>
      </c>
      <c r="O37" s="4">
        <v>0</v>
      </c>
      <c r="P37" s="2">
        <v>10</v>
      </c>
      <c r="Q37" s="4">
        <v>0</v>
      </c>
      <c r="R37" s="4">
        <v>0</v>
      </c>
      <c r="S37" s="14" t="s">
        <v>79</v>
      </c>
      <c r="T37" s="19" t="s">
        <v>238</v>
      </c>
    </row>
    <row r="38" spans="1:20" ht="15" x14ac:dyDescent="0.3">
      <c r="A38" s="17" t="s">
        <v>53</v>
      </c>
      <c r="B38" s="1">
        <v>1987</v>
      </c>
      <c r="C38" s="1">
        <v>1</v>
      </c>
      <c r="D38" s="12">
        <v>93</v>
      </c>
      <c r="E38" s="8" t="s">
        <v>81</v>
      </c>
      <c r="F38" s="4">
        <v>58</v>
      </c>
      <c r="G38" s="1">
        <v>2</v>
      </c>
      <c r="H38" s="1">
        <v>3</v>
      </c>
      <c r="I38" s="3">
        <v>7</v>
      </c>
      <c r="J38" s="1">
        <v>0</v>
      </c>
      <c r="K38" s="1">
        <v>0</v>
      </c>
      <c r="L38" s="1">
        <v>0</v>
      </c>
      <c r="M38" s="3">
        <v>3</v>
      </c>
      <c r="N38" s="4">
        <v>0</v>
      </c>
      <c r="O38" s="3">
        <v>3</v>
      </c>
      <c r="P38" s="3">
        <v>3</v>
      </c>
      <c r="Q38" s="3">
        <v>3</v>
      </c>
      <c r="R38" s="4">
        <v>0</v>
      </c>
      <c r="S38" s="14" t="s">
        <v>80</v>
      </c>
      <c r="T38" s="19" t="s">
        <v>239</v>
      </c>
    </row>
    <row r="39" spans="1:20" ht="15" x14ac:dyDescent="0.3">
      <c r="A39" s="2" t="s">
        <v>95</v>
      </c>
      <c r="B39" s="1">
        <v>2025</v>
      </c>
      <c r="C39" s="1">
        <v>1</v>
      </c>
      <c r="D39" s="10">
        <v>127</v>
      </c>
      <c r="E39" s="8" t="s">
        <v>82</v>
      </c>
      <c r="F39" s="1">
        <v>164</v>
      </c>
      <c r="G39" s="2">
        <v>4</v>
      </c>
      <c r="H39" s="1">
        <v>4</v>
      </c>
      <c r="I39" s="1">
        <v>0</v>
      </c>
      <c r="J39" s="1">
        <v>12</v>
      </c>
      <c r="K39" s="1">
        <v>0</v>
      </c>
      <c r="L39" s="1">
        <v>11</v>
      </c>
      <c r="M39" s="4">
        <v>0</v>
      </c>
      <c r="N39" s="3">
        <v>5</v>
      </c>
      <c r="O39" s="2">
        <v>18</v>
      </c>
      <c r="P39" s="2">
        <v>14</v>
      </c>
      <c r="Q39" s="3">
        <v>5</v>
      </c>
      <c r="R39" s="3">
        <v>4</v>
      </c>
      <c r="S39" s="14" t="s">
        <v>83</v>
      </c>
      <c r="T39" s="19" t="s">
        <v>240</v>
      </c>
    </row>
    <row r="40" spans="1:20" ht="15" x14ac:dyDescent="0.3">
      <c r="A40" s="17" t="s">
        <v>53</v>
      </c>
      <c r="B40" s="1">
        <v>1988</v>
      </c>
      <c r="C40" s="1">
        <v>1</v>
      </c>
      <c r="D40" s="10">
        <v>87</v>
      </c>
      <c r="E40" s="8" t="s">
        <v>84</v>
      </c>
      <c r="F40" s="3">
        <v>108</v>
      </c>
      <c r="G40" s="1">
        <v>3</v>
      </c>
      <c r="H40" s="1">
        <v>2</v>
      </c>
      <c r="I40" s="1">
        <v>0</v>
      </c>
      <c r="J40" s="1">
        <v>9</v>
      </c>
      <c r="K40" s="1">
        <v>0</v>
      </c>
      <c r="L40" s="1">
        <v>0</v>
      </c>
      <c r="M40" s="4">
        <v>0</v>
      </c>
      <c r="N40" s="4">
        <v>0</v>
      </c>
      <c r="O40" s="2">
        <v>13</v>
      </c>
      <c r="P40" s="2">
        <v>13</v>
      </c>
      <c r="Q40" s="4">
        <v>0</v>
      </c>
      <c r="R40" s="4">
        <v>0</v>
      </c>
      <c r="S40" s="14" t="s">
        <v>85</v>
      </c>
      <c r="T40" s="19" t="s">
        <v>241</v>
      </c>
    </row>
    <row r="41" spans="1:20" ht="15" x14ac:dyDescent="0.3">
      <c r="A41" s="1" t="s">
        <v>86</v>
      </c>
      <c r="B41" s="1">
        <v>2024</v>
      </c>
      <c r="C41" s="1">
        <v>1</v>
      </c>
      <c r="D41" s="11">
        <v>141</v>
      </c>
      <c r="E41" s="8" t="s">
        <v>87</v>
      </c>
      <c r="F41" s="1">
        <v>103</v>
      </c>
      <c r="G41" s="1">
        <v>2</v>
      </c>
      <c r="H41" s="1">
        <v>4</v>
      </c>
      <c r="I41" s="3">
        <v>4</v>
      </c>
      <c r="J41" s="1">
        <v>0</v>
      </c>
      <c r="K41" s="1">
        <v>0</v>
      </c>
      <c r="L41" s="1">
        <v>0</v>
      </c>
      <c r="M41" s="3">
        <v>5</v>
      </c>
      <c r="N41" s="4">
        <v>0</v>
      </c>
      <c r="O41" s="3">
        <v>4</v>
      </c>
      <c r="P41" s="4">
        <v>0</v>
      </c>
      <c r="Q41" s="3">
        <v>5</v>
      </c>
      <c r="R41" s="3">
        <v>4</v>
      </c>
      <c r="S41" s="14" t="s">
        <v>88</v>
      </c>
      <c r="T41" s="19" t="s">
        <v>242</v>
      </c>
    </row>
    <row r="42" spans="1:20" ht="15" x14ac:dyDescent="0.3">
      <c r="A42" s="1" t="s">
        <v>89</v>
      </c>
      <c r="B42" s="1">
        <v>2024</v>
      </c>
      <c r="C42" s="1">
        <v>1</v>
      </c>
      <c r="D42" s="12">
        <v>136</v>
      </c>
      <c r="E42" s="8" t="s">
        <v>90</v>
      </c>
      <c r="F42" s="1">
        <v>97</v>
      </c>
      <c r="G42" s="1">
        <v>2</v>
      </c>
      <c r="H42" s="1">
        <v>3</v>
      </c>
      <c r="I42" s="2">
        <v>14</v>
      </c>
      <c r="J42" s="1">
        <v>0</v>
      </c>
      <c r="K42" s="1">
        <v>0</v>
      </c>
      <c r="L42" s="1">
        <v>0</v>
      </c>
      <c r="M42" s="4">
        <v>0</v>
      </c>
      <c r="N42" s="2">
        <v>10</v>
      </c>
      <c r="O42" s="3">
        <v>4</v>
      </c>
      <c r="P42" s="3">
        <v>5</v>
      </c>
      <c r="Q42" s="3">
        <v>5</v>
      </c>
      <c r="R42" s="3">
        <v>4</v>
      </c>
      <c r="S42" s="14" t="s">
        <v>91</v>
      </c>
      <c r="T42" s="19" t="s">
        <v>243</v>
      </c>
    </row>
    <row r="43" spans="1:20" ht="15" x14ac:dyDescent="0.3">
      <c r="A43" s="17" t="s">
        <v>53</v>
      </c>
      <c r="B43" s="1">
        <v>1989</v>
      </c>
      <c r="C43" s="1">
        <v>1</v>
      </c>
      <c r="D43" s="10">
        <v>90</v>
      </c>
      <c r="E43" s="8" t="s">
        <v>92</v>
      </c>
      <c r="F43" s="1">
        <v>60</v>
      </c>
      <c r="G43" s="1">
        <v>2</v>
      </c>
      <c r="H43" s="1">
        <v>3</v>
      </c>
      <c r="I43" s="2">
        <v>10</v>
      </c>
      <c r="J43" s="1">
        <v>0</v>
      </c>
      <c r="K43" s="1">
        <v>0</v>
      </c>
      <c r="L43" s="1">
        <v>0</v>
      </c>
      <c r="M43" s="4">
        <v>0</v>
      </c>
      <c r="N43" s="3">
        <v>2</v>
      </c>
      <c r="O43" s="3">
        <v>6</v>
      </c>
      <c r="P43" s="2">
        <v>8</v>
      </c>
      <c r="Q43" s="4">
        <v>0</v>
      </c>
      <c r="R43" s="3">
        <v>2</v>
      </c>
      <c r="S43" s="14" t="s">
        <v>93</v>
      </c>
      <c r="T43" s="19" t="s">
        <v>244</v>
      </c>
    </row>
    <row r="44" spans="1:20" ht="15" x14ac:dyDescent="0.3">
      <c r="A44" s="17" t="s">
        <v>53</v>
      </c>
      <c r="B44" s="1">
        <v>1990</v>
      </c>
      <c r="C44" s="1">
        <v>1</v>
      </c>
      <c r="D44" s="11">
        <v>98</v>
      </c>
      <c r="E44" s="8" t="s">
        <v>92</v>
      </c>
      <c r="F44" s="4">
        <v>57</v>
      </c>
      <c r="G44" s="1">
        <v>2</v>
      </c>
      <c r="H44" s="1">
        <v>3</v>
      </c>
      <c r="I44" s="3">
        <v>2</v>
      </c>
      <c r="J44" s="1">
        <v>0</v>
      </c>
      <c r="K44" s="1">
        <v>0</v>
      </c>
      <c r="L44" s="1">
        <v>0</v>
      </c>
      <c r="M44" s="4">
        <v>0</v>
      </c>
      <c r="N44" s="3">
        <v>2</v>
      </c>
      <c r="O44" s="3">
        <v>2</v>
      </c>
      <c r="P44" s="3">
        <v>2</v>
      </c>
      <c r="Q44" s="4">
        <v>0</v>
      </c>
      <c r="R44" s="4">
        <v>0</v>
      </c>
      <c r="S44" s="14" t="s">
        <v>94</v>
      </c>
      <c r="T44" s="19" t="s">
        <v>245</v>
      </c>
    </row>
    <row r="45" spans="1:20" ht="15" x14ac:dyDescent="0.3">
      <c r="A45" s="1" t="s">
        <v>96</v>
      </c>
      <c r="B45" s="1">
        <v>2023</v>
      </c>
      <c r="C45" s="1">
        <v>1</v>
      </c>
      <c r="D45" s="12">
        <v>138</v>
      </c>
      <c r="E45" s="8" t="s">
        <v>97</v>
      </c>
      <c r="F45" s="1">
        <v>121</v>
      </c>
      <c r="G45" s="1">
        <v>3</v>
      </c>
      <c r="H45" s="1">
        <v>3</v>
      </c>
      <c r="I45" s="1">
        <v>0</v>
      </c>
      <c r="J45" s="1">
        <v>0</v>
      </c>
      <c r="K45" s="1">
        <v>0</v>
      </c>
      <c r="L45" s="1">
        <v>0</v>
      </c>
      <c r="M45" s="3">
        <v>5</v>
      </c>
      <c r="N45" s="3">
        <v>5</v>
      </c>
      <c r="O45" s="3">
        <v>2</v>
      </c>
      <c r="P45" s="3">
        <v>7</v>
      </c>
      <c r="Q45" s="3">
        <v>5</v>
      </c>
      <c r="R45" s="4">
        <v>0</v>
      </c>
      <c r="S45" s="14" t="s">
        <v>98</v>
      </c>
      <c r="T45" s="19" t="s">
        <v>246</v>
      </c>
    </row>
    <row r="46" spans="1:20" ht="15" x14ac:dyDescent="0.3">
      <c r="A46" s="2" t="s">
        <v>103</v>
      </c>
      <c r="B46" s="1">
        <v>2023</v>
      </c>
      <c r="C46" s="1">
        <v>1</v>
      </c>
      <c r="D46" s="10">
        <v>126</v>
      </c>
      <c r="E46" s="8" t="s">
        <v>100</v>
      </c>
      <c r="F46" s="1">
        <v>117</v>
      </c>
      <c r="G46" s="1">
        <v>3</v>
      </c>
      <c r="H46" s="1">
        <v>3</v>
      </c>
      <c r="I46" s="1">
        <v>0</v>
      </c>
      <c r="J46" s="1">
        <v>0</v>
      </c>
      <c r="K46" s="1">
        <v>0</v>
      </c>
      <c r="L46" s="1">
        <v>0</v>
      </c>
      <c r="M46" s="3">
        <v>5</v>
      </c>
      <c r="N46" s="3">
        <v>5</v>
      </c>
      <c r="O46" s="2">
        <v>14</v>
      </c>
      <c r="P46" s="2">
        <v>24</v>
      </c>
      <c r="Q46" s="4">
        <v>0</v>
      </c>
      <c r="R46" s="4">
        <v>0</v>
      </c>
      <c r="S46" s="14" t="s">
        <v>101</v>
      </c>
      <c r="T46" s="19" t="s">
        <v>247</v>
      </c>
    </row>
    <row r="47" spans="1:20" ht="15" x14ac:dyDescent="0.3">
      <c r="A47" s="17" t="s">
        <v>53</v>
      </c>
      <c r="B47" s="1">
        <v>1991</v>
      </c>
      <c r="C47" s="1">
        <v>1</v>
      </c>
      <c r="D47" s="12">
        <v>94</v>
      </c>
      <c r="E47" s="8" t="s">
        <v>99</v>
      </c>
      <c r="F47" s="1">
        <v>63</v>
      </c>
      <c r="G47" s="1">
        <v>2</v>
      </c>
      <c r="H47" s="1">
        <v>4</v>
      </c>
      <c r="I47" s="1">
        <v>0</v>
      </c>
      <c r="J47" s="1">
        <v>0</v>
      </c>
      <c r="K47" s="1">
        <v>0</v>
      </c>
      <c r="L47" s="1">
        <v>0</v>
      </c>
      <c r="M47" s="4">
        <v>0</v>
      </c>
      <c r="N47" s="4">
        <v>0</v>
      </c>
      <c r="O47" s="3">
        <v>6</v>
      </c>
      <c r="P47" s="3">
        <v>6</v>
      </c>
      <c r="Q47" s="4">
        <v>0</v>
      </c>
      <c r="R47" s="4">
        <v>0</v>
      </c>
      <c r="S47" s="14" t="s">
        <v>102</v>
      </c>
      <c r="T47" s="19" t="s">
        <v>248</v>
      </c>
    </row>
    <row r="48" spans="1:20" ht="15" x14ac:dyDescent="0.3">
      <c r="A48" s="1" t="s">
        <v>104</v>
      </c>
      <c r="B48" s="1">
        <v>2023</v>
      </c>
      <c r="C48" s="1">
        <v>1</v>
      </c>
      <c r="D48" s="11">
        <v>148</v>
      </c>
      <c r="E48" s="8" t="s">
        <v>105</v>
      </c>
      <c r="F48" s="1">
        <v>105</v>
      </c>
      <c r="G48" s="1">
        <v>2</v>
      </c>
      <c r="H48" s="1">
        <v>4</v>
      </c>
      <c r="I48" s="3">
        <v>2</v>
      </c>
      <c r="J48" s="1">
        <v>0</v>
      </c>
      <c r="K48" s="1">
        <v>0</v>
      </c>
      <c r="L48" s="1">
        <v>0</v>
      </c>
      <c r="M48" s="4">
        <v>0</v>
      </c>
      <c r="N48" s="4">
        <v>0</v>
      </c>
      <c r="O48" s="3">
        <v>2</v>
      </c>
      <c r="P48" s="3">
        <v>2</v>
      </c>
      <c r="Q48" s="4">
        <v>0</v>
      </c>
      <c r="R48" s="4">
        <v>0</v>
      </c>
      <c r="S48" s="14" t="s">
        <v>108</v>
      </c>
      <c r="T48" s="19" t="s">
        <v>296</v>
      </c>
    </row>
    <row r="49" spans="1:20" ht="15" x14ac:dyDescent="0.3">
      <c r="A49" s="1" t="s">
        <v>106</v>
      </c>
      <c r="B49" s="1">
        <v>2023</v>
      </c>
      <c r="C49" s="1">
        <v>1</v>
      </c>
      <c r="D49" s="11">
        <v>150</v>
      </c>
      <c r="E49" s="8" t="s">
        <v>107</v>
      </c>
      <c r="F49" s="1">
        <v>109</v>
      </c>
      <c r="G49" s="1">
        <v>2</v>
      </c>
      <c r="H49" s="1">
        <v>4</v>
      </c>
      <c r="I49" s="1">
        <v>0</v>
      </c>
      <c r="J49" s="1">
        <v>0</v>
      </c>
      <c r="K49" s="1">
        <v>0</v>
      </c>
      <c r="L49" s="1">
        <v>0</v>
      </c>
      <c r="M49" s="4">
        <v>0</v>
      </c>
      <c r="N49" s="4">
        <v>0</v>
      </c>
      <c r="O49" s="4">
        <v>0</v>
      </c>
      <c r="P49" s="4">
        <v>0</v>
      </c>
      <c r="Q49" s="4">
        <v>0</v>
      </c>
      <c r="R49" s="4">
        <v>0</v>
      </c>
      <c r="S49" s="14"/>
      <c r="T49" s="19" t="s">
        <v>249</v>
      </c>
    </row>
    <row r="50" spans="1:20" ht="15" x14ac:dyDescent="0.3">
      <c r="A50" s="17" t="s">
        <v>53</v>
      </c>
      <c r="B50" s="1">
        <v>1992</v>
      </c>
      <c r="C50" s="1">
        <v>1</v>
      </c>
      <c r="D50" s="11">
        <v>100</v>
      </c>
      <c r="E50" s="8" t="s">
        <v>109</v>
      </c>
      <c r="F50" s="4">
        <v>52</v>
      </c>
      <c r="G50" s="1">
        <v>2</v>
      </c>
      <c r="H50" s="1">
        <v>4</v>
      </c>
      <c r="I50" s="1">
        <v>0</v>
      </c>
      <c r="J50" s="1">
        <v>0</v>
      </c>
      <c r="K50" s="1">
        <v>0</v>
      </c>
      <c r="L50" s="1">
        <v>0</v>
      </c>
      <c r="M50" s="4">
        <v>0</v>
      </c>
      <c r="N50" s="4">
        <v>0</v>
      </c>
      <c r="O50" s="4">
        <v>0</v>
      </c>
      <c r="P50" s="4">
        <v>0</v>
      </c>
      <c r="Q50" s="4">
        <v>0</v>
      </c>
      <c r="R50" s="4">
        <v>0</v>
      </c>
      <c r="S50" s="14"/>
      <c r="T50" s="19" t="s">
        <v>250</v>
      </c>
    </row>
    <row r="51" spans="1:20" ht="15" x14ac:dyDescent="0.3">
      <c r="A51" s="17" t="s">
        <v>53</v>
      </c>
      <c r="B51" s="1">
        <v>1993</v>
      </c>
      <c r="C51" s="1">
        <v>1</v>
      </c>
      <c r="D51" s="11">
        <v>97</v>
      </c>
      <c r="E51" s="8" t="s">
        <v>109</v>
      </c>
      <c r="F51" s="1">
        <v>61</v>
      </c>
      <c r="G51" s="1">
        <v>2</v>
      </c>
      <c r="H51" s="1">
        <v>4</v>
      </c>
      <c r="I51" s="1">
        <v>3</v>
      </c>
      <c r="J51" s="1">
        <v>0</v>
      </c>
      <c r="K51" s="1">
        <v>0</v>
      </c>
      <c r="L51" s="1">
        <v>0</v>
      </c>
      <c r="M51" s="3">
        <v>3</v>
      </c>
      <c r="N51" s="4">
        <v>0</v>
      </c>
      <c r="O51" s="4">
        <v>0</v>
      </c>
      <c r="P51" s="3">
        <v>3</v>
      </c>
      <c r="Q51" s="4">
        <v>0</v>
      </c>
      <c r="R51" s="4">
        <v>0</v>
      </c>
      <c r="S51" s="14" t="s">
        <v>110</v>
      </c>
      <c r="T51" s="19" t="s">
        <v>251</v>
      </c>
    </row>
    <row r="52" spans="1:20" ht="15" x14ac:dyDescent="0.3">
      <c r="A52" s="1" t="s">
        <v>111</v>
      </c>
      <c r="B52" s="1">
        <v>2025</v>
      </c>
      <c r="C52" s="1">
        <v>1</v>
      </c>
      <c r="D52" s="12">
        <v>135</v>
      </c>
      <c r="E52" s="8" t="s">
        <v>112</v>
      </c>
      <c r="F52" s="3">
        <v>176</v>
      </c>
      <c r="G52" s="2">
        <v>4</v>
      </c>
      <c r="H52" s="1">
        <v>5</v>
      </c>
      <c r="I52" s="3">
        <v>5</v>
      </c>
      <c r="J52" s="1">
        <v>0</v>
      </c>
      <c r="K52" s="1">
        <v>0</v>
      </c>
      <c r="L52" s="1">
        <v>0</v>
      </c>
      <c r="M52" s="4">
        <v>0</v>
      </c>
      <c r="N52" s="3">
        <v>5</v>
      </c>
      <c r="O52" s="2">
        <v>10</v>
      </c>
      <c r="P52" s="2">
        <v>10</v>
      </c>
      <c r="Q52" s="4">
        <v>0</v>
      </c>
      <c r="R52" s="3">
        <v>5</v>
      </c>
      <c r="S52" s="14" t="s">
        <v>113</v>
      </c>
      <c r="T52" s="19" t="s">
        <v>252</v>
      </c>
    </row>
    <row r="53" spans="1:20" ht="15" x14ac:dyDescent="0.3">
      <c r="A53" s="17" t="s">
        <v>53</v>
      </c>
      <c r="B53" s="1">
        <v>1994</v>
      </c>
      <c r="C53" s="1">
        <v>1</v>
      </c>
      <c r="D53" s="12">
        <v>94</v>
      </c>
      <c r="E53" s="8" t="s">
        <v>114</v>
      </c>
      <c r="F53" s="3">
        <v>82</v>
      </c>
      <c r="G53" s="1">
        <v>3</v>
      </c>
      <c r="H53" s="1">
        <v>4</v>
      </c>
      <c r="I53" s="1">
        <v>0</v>
      </c>
      <c r="J53" s="1">
        <v>0</v>
      </c>
      <c r="K53" s="1">
        <v>0</v>
      </c>
      <c r="L53" s="1">
        <v>0</v>
      </c>
      <c r="M53" s="4">
        <v>0</v>
      </c>
      <c r="N53" s="4">
        <v>0</v>
      </c>
      <c r="O53" s="3">
        <v>6</v>
      </c>
      <c r="P53" s="3">
        <v>4</v>
      </c>
      <c r="Q53" s="3">
        <v>2</v>
      </c>
      <c r="R53" s="4">
        <v>0</v>
      </c>
      <c r="S53" s="14" t="s">
        <v>115</v>
      </c>
      <c r="T53" s="19" t="s">
        <v>253</v>
      </c>
    </row>
    <row r="54" spans="1:20" ht="15" x14ac:dyDescent="0.3">
      <c r="A54" s="2" t="s">
        <v>116</v>
      </c>
      <c r="B54" s="1">
        <v>2025</v>
      </c>
      <c r="C54" s="1">
        <v>1</v>
      </c>
      <c r="D54" s="10">
        <v>112</v>
      </c>
      <c r="E54" s="8" t="s">
        <v>117</v>
      </c>
      <c r="F54" s="3">
        <v>173</v>
      </c>
      <c r="G54" s="2">
        <v>5</v>
      </c>
      <c r="H54" s="1">
        <v>3</v>
      </c>
      <c r="I54" s="3">
        <v>6</v>
      </c>
      <c r="J54" s="1">
        <v>0</v>
      </c>
      <c r="K54" s="1">
        <v>0</v>
      </c>
      <c r="L54" s="1">
        <v>0</v>
      </c>
      <c r="M54" s="2">
        <v>15</v>
      </c>
      <c r="N54" s="2">
        <v>10</v>
      </c>
      <c r="O54" s="2">
        <v>13</v>
      </c>
      <c r="P54" s="2">
        <v>24</v>
      </c>
      <c r="Q54" s="2">
        <v>10</v>
      </c>
      <c r="R54" s="3">
        <v>4</v>
      </c>
      <c r="S54" s="14" t="s">
        <v>118</v>
      </c>
      <c r="T54" s="19" t="s">
        <v>254</v>
      </c>
    </row>
    <row r="55" spans="1:20" ht="15" x14ac:dyDescent="0.3">
      <c r="A55" s="1" t="s">
        <v>119</v>
      </c>
      <c r="B55" s="1">
        <v>2025</v>
      </c>
      <c r="C55" s="1">
        <v>1</v>
      </c>
      <c r="D55" s="11">
        <v>145</v>
      </c>
      <c r="E55" s="8" t="s">
        <v>120</v>
      </c>
      <c r="F55" s="1">
        <v>175</v>
      </c>
      <c r="G55" s="1">
        <v>3</v>
      </c>
      <c r="H55" s="1">
        <v>4</v>
      </c>
      <c r="I55" s="1">
        <v>0</v>
      </c>
      <c r="J55" s="1">
        <v>0</v>
      </c>
      <c r="K55" s="1">
        <v>0</v>
      </c>
      <c r="L55" s="1">
        <v>0</v>
      </c>
      <c r="M55" s="3">
        <v>5</v>
      </c>
      <c r="N55" s="4">
        <v>0</v>
      </c>
      <c r="O55" s="4">
        <v>0</v>
      </c>
      <c r="P55" s="3">
        <v>5</v>
      </c>
      <c r="Q55" s="4">
        <v>0</v>
      </c>
      <c r="R55" s="4">
        <v>0</v>
      </c>
      <c r="S55" s="14" t="s">
        <v>121</v>
      </c>
      <c r="T55" s="19" t="s">
        <v>255</v>
      </c>
    </row>
    <row r="56" spans="1:20" ht="15" x14ac:dyDescent="0.3">
      <c r="A56" s="17" t="s">
        <v>53</v>
      </c>
      <c r="B56" s="1">
        <v>1995</v>
      </c>
      <c r="C56" s="1">
        <v>1</v>
      </c>
      <c r="D56" s="11">
        <v>100</v>
      </c>
      <c r="E56" s="8" t="s">
        <v>122</v>
      </c>
      <c r="F56" s="1">
        <v>77</v>
      </c>
      <c r="G56" s="1">
        <v>2</v>
      </c>
      <c r="H56" s="1">
        <v>4</v>
      </c>
      <c r="I56" s="1">
        <v>0</v>
      </c>
      <c r="J56" s="1">
        <v>0</v>
      </c>
      <c r="K56" s="1">
        <v>0</v>
      </c>
      <c r="L56" s="1">
        <v>0</v>
      </c>
      <c r="M56" s="4">
        <v>0</v>
      </c>
      <c r="N56" s="4">
        <v>0</v>
      </c>
      <c r="O56" s="4">
        <v>0</v>
      </c>
      <c r="P56" s="4">
        <v>0</v>
      </c>
      <c r="Q56" s="4">
        <v>0</v>
      </c>
      <c r="R56" s="4">
        <v>0</v>
      </c>
      <c r="S56" s="14"/>
      <c r="T56" s="19" t="s">
        <v>256</v>
      </c>
    </row>
    <row r="57" spans="1:20" ht="15" x14ac:dyDescent="0.3">
      <c r="A57" s="17" t="s">
        <v>53</v>
      </c>
      <c r="B57" s="1">
        <v>1996</v>
      </c>
      <c r="C57" s="1">
        <v>1</v>
      </c>
      <c r="D57" s="11">
        <v>100</v>
      </c>
      <c r="E57" s="8" t="s">
        <v>122</v>
      </c>
      <c r="F57" s="1">
        <v>65</v>
      </c>
      <c r="G57" s="1">
        <v>2</v>
      </c>
      <c r="H57" s="1">
        <v>4</v>
      </c>
      <c r="I57" s="1">
        <v>0</v>
      </c>
      <c r="J57" s="1">
        <v>0</v>
      </c>
      <c r="K57" s="1">
        <v>0</v>
      </c>
      <c r="L57" s="1">
        <v>0</v>
      </c>
      <c r="M57" s="4">
        <v>0</v>
      </c>
      <c r="N57" s="4">
        <v>0</v>
      </c>
      <c r="O57" s="4">
        <v>0</v>
      </c>
      <c r="P57" s="4">
        <v>0</v>
      </c>
      <c r="Q57" s="4">
        <v>0</v>
      </c>
      <c r="R57" s="4">
        <v>0</v>
      </c>
      <c r="S57" s="14"/>
      <c r="T57" s="19" t="s">
        <v>257</v>
      </c>
    </row>
    <row r="58" spans="1:20" ht="15" x14ac:dyDescent="0.3">
      <c r="A58" s="2" t="s">
        <v>123</v>
      </c>
      <c r="B58" s="1">
        <v>2025</v>
      </c>
      <c r="C58" s="1">
        <v>1</v>
      </c>
      <c r="D58" s="10">
        <v>120</v>
      </c>
      <c r="E58" s="8" t="s">
        <v>124</v>
      </c>
      <c r="F58" s="1">
        <v>97</v>
      </c>
      <c r="G58" s="1">
        <v>3</v>
      </c>
      <c r="H58" s="1">
        <v>3</v>
      </c>
      <c r="I58" s="2">
        <v>16</v>
      </c>
      <c r="J58" s="1">
        <v>0</v>
      </c>
      <c r="K58" s="1">
        <v>0</v>
      </c>
      <c r="L58" s="1">
        <v>0</v>
      </c>
      <c r="M58" s="2">
        <v>15</v>
      </c>
      <c r="N58" s="3">
        <v>5</v>
      </c>
      <c r="O58" s="2">
        <v>10</v>
      </c>
      <c r="P58" s="2">
        <v>16</v>
      </c>
      <c r="Q58" s="3">
        <v>5</v>
      </c>
      <c r="R58" s="2">
        <v>9</v>
      </c>
      <c r="S58" s="14" t="s">
        <v>125</v>
      </c>
      <c r="T58" s="19" t="s">
        <v>258</v>
      </c>
    </row>
    <row r="59" spans="1:20" ht="15" x14ac:dyDescent="0.3">
      <c r="A59" s="1" t="s">
        <v>126</v>
      </c>
      <c r="B59" s="1">
        <v>2025</v>
      </c>
      <c r="C59" s="1">
        <v>1</v>
      </c>
      <c r="D59" s="11">
        <v>143</v>
      </c>
      <c r="E59" s="8" t="s">
        <v>127</v>
      </c>
      <c r="F59" s="1">
        <v>93</v>
      </c>
      <c r="G59" s="1">
        <v>2</v>
      </c>
      <c r="H59" s="1">
        <v>4</v>
      </c>
      <c r="I59" s="1">
        <v>0</v>
      </c>
      <c r="J59" s="1">
        <v>0</v>
      </c>
      <c r="K59" s="1">
        <v>0</v>
      </c>
      <c r="L59" s="1">
        <v>0</v>
      </c>
      <c r="M59" s="4">
        <v>0</v>
      </c>
      <c r="N59" s="3">
        <v>5</v>
      </c>
      <c r="O59" s="3">
        <v>2</v>
      </c>
      <c r="P59" s="3">
        <v>7</v>
      </c>
      <c r="Q59" s="4">
        <v>0</v>
      </c>
      <c r="R59" s="4">
        <v>0</v>
      </c>
      <c r="S59" s="14" t="s">
        <v>128</v>
      </c>
      <c r="T59" s="19" t="s">
        <v>259</v>
      </c>
    </row>
    <row r="60" spans="1:20" ht="15" x14ac:dyDescent="0.3">
      <c r="A60" s="1" t="s">
        <v>153</v>
      </c>
      <c r="B60" s="1">
        <v>2025</v>
      </c>
      <c r="C60" s="1">
        <v>1</v>
      </c>
      <c r="D60" s="11">
        <v>148</v>
      </c>
      <c r="E60" s="1">
        <v>9.25</v>
      </c>
      <c r="F60" s="4">
        <v>80</v>
      </c>
      <c r="G60" s="1">
        <v>2</v>
      </c>
      <c r="H60" s="1">
        <v>4</v>
      </c>
      <c r="I60" s="1">
        <v>2</v>
      </c>
      <c r="J60" s="1">
        <v>0</v>
      </c>
      <c r="K60" s="1">
        <v>0</v>
      </c>
      <c r="L60" s="1">
        <v>0</v>
      </c>
      <c r="M60" s="4">
        <v>0</v>
      </c>
      <c r="N60" s="4">
        <v>0</v>
      </c>
      <c r="O60" s="3">
        <v>2</v>
      </c>
      <c r="P60" s="4">
        <v>0</v>
      </c>
      <c r="Q60" s="4">
        <v>0</v>
      </c>
      <c r="R60" s="3">
        <v>2</v>
      </c>
      <c r="S60" s="14" t="s">
        <v>154</v>
      </c>
      <c r="T60" s="19" t="s">
        <v>260</v>
      </c>
    </row>
    <row r="61" spans="1:20" ht="15" x14ac:dyDescent="0.3">
      <c r="A61" s="17" t="s">
        <v>53</v>
      </c>
      <c r="B61" s="1">
        <v>2023</v>
      </c>
      <c r="C61" s="1">
        <v>1</v>
      </c>
      <c r="D61" s="11">
        <v>150</v>
      </c>
      <c r="E61" s="8" t="s">
        <v>143</v>
      </c>
      <c r="F61" s="1">
        <v>174</v>
      </c>
      <c r="G61" s="1">
        <v>3</v>
      </c>
      <c r="H61" s="1">
        <v>5</v>
      </c>
      <c r="I61" s="1">
        <v>0</v>
      </c>
      <c r="J61" s="1">
        <v>0</v>
      </c>
      <c r="K61" s="1">
        <v>0</v>
      </c>
      <c r="L61" s="1">
        <v>0</v>
      </c>
      <c r="M61" s="4">
        <v>0</v>
      </c>
      <c r="N61" s="4">
        <v>0</v>
      </c>
      <c r="O61" s="4">
        <v>0</v>
      </c>
      <c r="P61" s="4">
        <v>0</v>
      </c>
      <c r="Q61" s="4">
        <v>0</v>
      </c>
      <c r="R61" s="4">
        <v>0</v>
      </c>
      <c r="S61" s="14"/>
      <c r="T61" s="19" t="s">
        <v>261</v>
      </c>
    </row>
    <row r="62" spans="1:20" ht="15" x14ac:dyDescent="0.3">
      <c r="A62" s="1" t="s">
        <v>129</v>
      </c>
      <c r="B62" s="1">
        <v>2025</v>
      </c>
      <c r="C62" s="1">
        <v>1</v>
      </c>
      <c r="D62" s="12">
        <v>135</v>
      </c>
      <c r="E62" s="8" t="s">
        <v>130</v>
      </c>
      <c r="F62" s="1">
        <v>136</v>
      </c>
      <c r="G62" s="1">
        <v>3</v>
      </c>
      <c r="H62" s="1">
        <v>3</v>
      </c>
      <c r="I62" s="3">
        <v>5</v>
      </c>
      <c r="J62" s="1">
        <v>0</v>
      </c>
      <c r="K62" s="1">
        <v>0</v>
      </c>
      <c r="L62" s="1">
        <v>0</v>
      </c>
      <c r="M62" s="2">
        <v>10</v>
      </c>
      <c r="N62" s="3">
        <v>5</v>
      </c>
      <c r="O62" s="4">
        <v>0</v>
      </c>
      <c r="P62" s="3">
        <v>5</v>
      </c>
      <c r="Q62" s="2">
        <v>10</v>
      </c>
      <c r="R62" s="4">
        <v>0</v>
      </c>
      <c r="S62" s="14" t="s">
        <v>131</v>
      </c>
      <c r="T62" s="19" t="s">
        <v>262</v>
      </c>
    </row>
    <row r="63" spans="1:20" ht="15" x14ac:dyDescent="0.3">
      <c r="A63" s="1" t="s">
        <v>133</v>
      </c>
      <c r="B63" s="1">
        <v>2024</v>
      </c>
      <c r="C63" s="1">
        <v>1</v>
      </c>
      <c r="D63" s="12">
        <v>130</v>
      </c>
      <c r="E63" s="8" t="s">
        <v>134</v>
      </c>
      <c r="F63" s="1">
        <v>99</v>
      </c>
      <c r="G63" s="1">
        <v>2</v>
      </c>
      <c r="H63" s="1">
        <v>3</v>
      </c>
      <c r="I63" s="3">
        <v>5</v>
      </c>
      <c r="J63" s="1">
        <v>0</v>
      </c>
      <c r="K63" s="1">
        <v>0</v>
      </c>
      <c r="L63" s="1">
        <v>0</v>
      </c>
      <c r="M63" s="3">
        <v>5</v>
      </c>
      <c r="N63" s="3">
        <v>5</v>
      </c>
      <c r="O63" s="2">
        <v>10</v>
      </c>
      <c r="P63" s="2">
        <v>15</v>
      </c>
      <c r="Q63" s="4">
        <v>0</v>
      </c>
      <c r="R63" s="4">
        <v>5</v>
      </c>
      <c r="S63" s="14" t="s">
        <v>135</v>
      </c>
      <c r="T63" s="19" t="s">
        <v>263</v>
      </c>
    </row>
    <row r="64" spans="1:20" ht="15" x14ac:dyDescent="0.3">
      <c r="A64" s="1" t="s">
        <v>139</v>
      </c>
      <c r="B64" s="1">
        <v>2024</v>
      </c>
      <c r="C64" s="1">
        <v>1</v>
      </c>
      <c r="D64" s="12">
        <v>137</v>
      </c>
      <c r="E64" s="8" t="s">
        <v>138</v>
      </c>
      <c r="F64" s="1">
        <v>120</v>
      </c>
      <c r="G64" s="1">
        <v>3</v>
      </c>
      <c r="H64" s="1">
        <v>4</v>
      </c>
      <c r="I64" s="3">
        <v>5</v>
      </c>
      <c r="J64" s="1">
        <v>0</v>
      </c>
      <c r="K64" s="1">
        <v>0</v>
      </c>
      <c r="L64" s="1">
        <v>0</v>
      </c>
      <c r="M64" s="4">
        <v>0</v>
      </c>
      <c r="N64" s="3">
        <v>5</v>
      </c>
      <c r="O64" s="3">
        <v>8</v>
      </c>
      <c r="P64" s="2">
        <v>13</v>
      </c>
      <c r="Q64" s="4">
        <v>0</v>
      </c>
      <c r="R64" s="4">
        <v>0</v>
      </c>
      <c r="S64" s="14" t="s">
        <v>140</v>
      </c>
      <c r="T64" s="19" t="s">
        <v>264</v>
      </c>
    </row>
    <row r="65" spans="1:20" ht="15" x14ac:dyDescent="0.3">
      <c r="A65" s="1" t="s">
        <v>132</v>
      </c>
      <c r="B65" s="1">
        <v>2025</v>
      </c>
      <c r="C65" s="1">
        <v>1</v>
      </c>
      <c r="D65" s="11">
        <v>140</v>
      </c>
      <c r="E65" s="8" t="s">
        <v>136</v>
      </c>
      <c r="F65" s="1">
        <v>87</v>
      </c>
      <c r="G65" s="1">
        <v>2</v>
      </c>
      <c r="H65" s="1">
        <v>3</v>
      </c>
      <c r="I65" s="3">
        <v>8</v>
      </c>
      <c r="J65" s="1">
        <v>0</v>
      </c>
      <c r="K65" s="1">
        <v>0</v>
      </c>
      <c r="L65" s="1">
        <v>0</v>
      </c>
      <c r="M65" s="4">
        <v>0</v>
      </c>
      <c r="N65" s="4">
        <v>0</v>
      </c>
      <c r="O65" s="2">
        <v>10</v>
      </c>
      <c r="P65" s="3">
        <v>2</v>
      </c>
      <c r="Q65" s="3">
        <v>8</v>
      </c>
      <c r="R65" s="4">
        <v>0</v>
      </c>
      <c r="S65" s="14" t="s">
        <v>137</v>
      </c>
      <c r="T65" s="20" t="s">
        <v>265</v>
      </c>
    </row>
    <row r="66" spans="1:20" ht="15" x14ac:dyDescent="0.3">
      <c r="A66" s="1" t="s">
        <v>77</v>
      </c>
      <c r="B66" s="1">
        <v>2025</v>
      </c>
      <c r="C66" s="1">
        <v>1</v>
      </c>
      <c r="D66" s="12">
        <v>132</v>
      </c>
      <c r="E66" s="8" t="s">
        <v>141</v>
      </c>
      <c r="F66" s="1">
        <v>132</v>
      </c>
      <c r="G66" s="1">
        <v>3</v>
      </c>
      <c r="H66" s="1">
        <v>4</v>
      </c>
      <c r="I66" s="1">
        <v>0</v>
      </c>
      <c r="J66" s="1">
        <v>0</v>
      </c>
      <c r="K66" s="1">
        <v>0</v>
      </c>
      <c r="L66" s="1">
        <v>0</v>
      </c>
      <c r="M66" s="4">
        <v>0</v>
      </c>
      <c r="N66" s="2">
        <v>10</v>
      </c>
      <c r="O66" s="3">
        <v>8</v>
      </c>
      <c r="P66" s="2">
        <v>13</v>
      </c>
      <c r="Q66" s="3">
        <v>5</v>
      </c>
      <c r="R66" s="4">
        <v>0</v>
      </c>
      <c r="S66" s="14" t="s">
        <v>142</v>
      </c>
      <c r="T66" s="19" t="s">
        <v>297</v>
      </c>
    </row>
    <row r="67" spans="1:20" ht="15" x14ac:dyDescent="0.3">
      <c r="A67" s="1" t="s">
        <v>144</v>
      </c>
      <c r="B67" s="1">
        <v>2025</v>
      </c>
      <c r="C67" s="1">
        <v>1</v>
      </c>
      <c r="D67" s="12">
        <v>136</v>
      </c>
      <c r="E67" s="8" t="s">
        <v>145</v>
      </c>
      <c r="F67" s="1">
        <v>83</v>
      </c>
      <c r="G67" s="1">
        <v>2</v>
      </c>
      <c r="H67" s="1">
        <v>4</v>
      </c>
      <c r="I67" s="3">
        <v>5</v>
      </c>
      <c r="J67" s="1">
        <v>0</v>
      </c>
      <c r="K67" s="1">
        <v>0</v>
      </c>
      <c r="L67" s="1">
        <v>0</v>
      </c>
      <c r="M67" s="3">
        <v>5</v>
      </c>
      <c r="N67" s="3">
        <v>5</v>
      </c>
      <c r="O67" s="3">
        <v>4</v>
      </c>
      <c r="P67" s="3">
        <v>4</v>
      </c>
      <c r="Q67" s="3">
        <v>5</v>
      </c>
      <c r="R67" s="3">
        <v>5</v>
      </c>
      <c r="S67" s="14" t="s">
        <v>147</v>
      </c>
      <c r="T67" s="19" t="s">
        <v>266</v>
      </c>
    </row>
    <row r="68" spans="1:20" ht="15" x14ac:dyDescent="0.3">
      <c r="A68" s="1" t="s">
        <v>148</v>
      </c>
      <c r="B68" s="1">
        <v>2025</v>
      </c>
      <c r="C68" s="1">
        <v>1</v>
      </c>
      <c r="D68" s="12">
        <v>130</v>
      </c>
      <c r="E68" s="1">
        <v>10.11</v>
      </c>
      <c r="F68" s="1">
        <v>89</v>
      </c>
      <c r="G68" s="1">
        <v>2</v>
      </c>
      <c r="H68" s="1">
        <v>4</v>
      </c>
      <c r="I68" s="1">
        <v>0</v>
      </c>
      <c r="J68" s="1">
        <v>0</v>
      </c>
      <c r="K68" s="1">
        <v>0</v>
      </c>
      <c r="L68" s="1">
        <v>0</v>
      </c>
      <c r="M68" s="2">
        <v>10</v>
      </c>
      <c r="N68" s="4">
        <v>0</v>
      </c>
      <c r="O68" s="2">
        <v>10</v>
      </c>
      <c r="P68" s="2">
        <v>10</v>
      </c>
      <c r="Q68" s="2">
        <v>10</v>
      </c>
      <c r="R68" s="4">
        <v>0</v>
      </c>
      <c r="S68" s="14" t="s">
        <v>150</v>
      </c>
      <c r="T68" s="19" t="s">
        <v>298</v>
      </c>
    </row>
    <row r="69" spans="1:20" ht="15" x14ac:dyDescent="0.3">
      <c r="A69" s="1" t="s">
        <v>149</v>
      </c>
      <c r="B69" s="1">
        <v>2024</v>
      </c>
      <c r="C69" s="1">
        <v>1</v>
      </c>
      <c r="D69" s="11">
        <v>150</v>
      </c>
      <c r="E69" s="8" t="s">
        <v>146</v>
      </c>
      <c r="F69" s="1">
        <v>87</v>
      </c>
      <c r="G69" s="1">
        <v>2</v>
      </c>
      <c r="H69" s="1">
        <v>5</v>
      </c>
      <c r="I69" s="1">
        <v>0</v>
      </c>
      <c r="J69" s="1">
        <v>0</v>
      </c>
      <c r="K69" s="1">
        <v>0</v>
      </c>
      <c r="L69" s="1">
        <v>0</v>
      </c>
      <c r="M69" s="4">
        <v>0</v>
      </c>
      <c r="N69" s="4">
        <v>0</v>
      </c>
      <c r="O69" s="4">
        <v>0</v>
      </c>
      <c r="P69" s="4">
        <v>0</v>
      </c>
      <c r="Q69" s="4">
        <v>0</v>
      </c>
      <c r="R69" s="4">
        <v>0</v>
      </c>
      <c r="S69" s="14"/>
      <c r="T69" s="19" t="s">
        <v>267</v>
      </c>
    </row>
    <row r="70" spans="1:20" ht="15" x14ac:dyDescent="0.3">
      <c r="A70" s="1" t="s">
        <v>151</v>
      </c>
      <c r="B70" s="1">
        <v>2024</v>
      </c>
      <c r="C70" s="1">
        <v>1</v>
      </c>
      <c r="D70" s="12">
        <v>138</v>
      </c>
      <c r="E70" s="8" t="s">
        <v>155</v>
      </c>
      <c r="F70" s="4">
        <v>70</v>
      </c>
      <c r="G70" s="1">
        <v>2</v>
      </c>
      <c r="H70" s="1">
        <v>4</v>
      </c>
      <c r="I70" s="1">
        <v>12</v>
      </c>
      <c r="J70" s="1">
        <v>0</v>
      </c>
      <c r="K70" s="1">
        <v>0</v>
      </c>
      <c r="L70" s="1">
        <v>0</v>
      </c>
      <c r="M70" s="4">
        <v>0</v>
      </c>
      <c r="N70" s="4">
        <v>0</v>
      </c>
      <c r="O70" s="2">
        <v>12</v>
      </c>
      <c r="P70" s="3">
        <v>4</v>
      </c>
      <c r="Q70" s="3">
        <v>2</v>
      </c>
      <c r="R70" s="3">
        <v>6</v>
      </c>
      <c r="S70" s="14" t="s">
        <v>156</v>
      </c>
      <c r="T70" s="19" t="s">
        <v>268</v>
      </c>
    </row>
    <row r="71" spans="1:20" ht="15" x14ac:dyDescent="0.3">
      <c r="A71" s="1" t="s">
        <v>152</v>
      </c>
      <c r="B71" s="1">
        <v>2024</v>
      </c>
      <c r="C71" s="1">
        <v>1</v>
      </c>
      <c r="D71" s="11">
        <v>145</v>
      </c>
      <c r="E71" s="8" t="s">
        <v>155</v>
      </c>
      <c r="F71" s="1">
        <v>81</v>
      </c>
      <c r="G71" s="1">
        <v>3</v>
      </c>
      <c r="H71" s="1">
        <v>4</v>
      </c>
      <c r="I71" s="1">
        <v>0</v>
      </c>
      <c r="J71" s="1">
        <v>0</v>
      </c>
      <c r="K71" s="1">
        <v>0</v>
      </c>
      <c r="L71" s="1">
        <v>0</v>
      </c>
      <c r="M71" s="4">
        <v>0</v>
      </c>
      <c r="N71" s="3">
        <v>5</v>
      </c>
      <c r="O71" s="4">
        <v>0</v>
      </c>
      <c r="P71" s="3">
        <v>5</v>
      </c>
      <c r="Q71" s="4">
        <v>0</v>
      </c>
      <c r="R71" s="4">
        <v>0</v>
      </c>
      <c r="S71" s="14" t="s">
        <v>157</v>
      </c>
      <c r="T71" s="19" t="s">
        <v>269</v>
      </c>
    </row>
    <row r="72" spans="1:20" ht="15" x14ac:dyDescent="0.3">
      <c r="A72" s="1" t="s">
        <v>158</v>
      </c>
      <c r="B72" s="1">
        <v>2024</v>
      </c>
      <c r="C72" s="1">
        <v>1</v>
      </c>
      <c r="D72" s="12">
        <v>135</v>
      </c>
      <c r="E72" s="1">
        <v>10.15</v>
      </c>
      <c r="F72" s="1">
        <v>77</v>
      </c>
      <c r="G72" s="1">
        <v>3</v>
      </c>
      <c r="H72" s="1">
        <v>4</v>
      </c>
      <c r="I72" s="1">
        <v>0</v>
      </c>
      <c r="J72" s="1">
        <v>0</v>
      </c>
      <c r="K72" s="1">
        <v>0</v>
      </c>
      <c r="L72" s="1">
        <v>0</v>
      </c>
      <c r="M72" s="3">
        <v>5</v>
      </c>
      <c r="N72" s="4">
        <v>0</v>
      </c>
      <c r="O72" s="2">
        <v>10</v>
      </c>
      <c r="P72" s="2">
        <v>15</v>
      </c>
      <c r="Q72" s="4">
        <v>0</v>
      </c>
      <c r="R72" s="4">
        <v>0</v>
      </c>
      <c r="S72" s="14" t="s">
        <v>159</v>
      </c>
      <c r="T72" s="19" t="s">
        <v>270</v>
      </c>
    </row>
    <row r="73" spans="1:20" ht="15" x14ac:dyDescent="0.3">
      <c r="A73" s="1" t="s">
        <v>161</v>
      </c>
      <c r="B73" s="1">
        <v>2024</v>
      </c>
      <c r="C73" s="1">
        <v>1</v>
      </c>
      <c r="D73" s="11">
        <v>147</v>
      </c>
      <c r="E73" s="1">
        <v>10.17</v>
      </c>
      <c r="F73" s="1">
        <v>108</v>
      </c>
      <c r="G73" s="1">
        <v>3</v>
      </c>
      <c r="H73" s="1">
        <v>4</v>
      </c>
      <c r="I73" s="1">
        <v>3</v>
      </c>
      <c r="J73" s="1">
        <v>0</v>
      </c>
      <c r="K73" s="1">
        <v>0</v>
      </c>
      <c r="L73" s="1">
        <v>0</v>
      </c>
      <c r="M73" s="4">
        <v>0</v>
      </c>
      <c r="N73" s="4">
        <v>0</v>
      </c>
      <c r="O73" s="3">
        <v>3</v>
      </c>
      <c r="P73" s="3">
        <v>3</v>
      </c>
      <c r="Q73" s="4">
        <v>0</v>
      </c>
      <c r="R73" s="4">
        <v>0</v>
      </c>
      <c r="S73" s="14" t="s">
        <v>160</v>
      </c>
      <c r="T73" s="19" t="s">
        <v>271</v>
      </c>
    </row>
    <row r="74" spans="1:20" ht="15" x14ac:dyDescent="0.3">
      <c r="A74" s="1" t="s">
        <v>162</v>
      </c>
      <c r="B74" s="1">
        <v>2024</v>
      </c>
      <c r="C74" s="1">
        <v>1</v>
      </c>
      <c r="D74" s="11">
        <v>140</v>
      </c>
      <c r="E74" s="1">
        <v>10.18</v>
      </c>
      <c r="F74" s="1">
        <v>87</v>
      </c>
      <c r="G74" s="1">
        <v>3</v>
      </c>
      <c r="H74" s="1">
        <v>4</v>
      </c>
      <c r="I74" s="1">
        <v>0</v>
      </c>
      <c r="J74" s="1">
        <v>0</v>
      </c>
      <c r="K74" s="1">
        <v>0</v>
      </c>
      <c r="L74" s="1">
        <v>0</v>
      </c>
      <c r="M74" s="3">
        <v>5</v>
      </c>
      <c r="N74" s="4">
        <v>0</v>
      </c>
      <c r="O74" s="3">
        <v>5</v>
      </c>
      <c r="P74" s="3">
        <v>5</v>
      </c>
      <c r="Q74" s="4">
        <v>0</v>
      </c>
      <c r="R74" s="3">
        <v>5</v>
      </c>
      <c r="S74" s="14" t="s">
        <v>163</v>
      </c>
      <c r="T74" s="19" t="s">
        <v>272</v>
      </c>
    </row>
    <row r="75" spans="1:20" ht="15" x14ac:dyDescent="0.3">
      <c r="A75" s="1" t="s">
        <v>44</v>
      </c>
      <c r="B75" s="1">
        <v>2024</v>
      </c>
      <c r="C75" s="1">
        <v>1</v>
      </c>
      <c r="D75" s="12">
        <v>130</v>
      </c>
      <c r="E75" s="1">
        <v>10.19</v>
      </c>
      <c r="F75" s="1">
        <v>106</v>
      </c>
      <c r="G75" s="1">
        <v>3</v>
      </c>
      <c r="H75" s="1">
        <v>3</v>
      </c>
      <c r="I75" s="1">
        <v>5</v>
      </c>
      <c r="J75" s="1">
        <v>0</v>
      </c>
      <c r="K75" s="1">
        <v>0</v>
      </c>
      <c r="L75" s="1">
        <v>0</v>
      </c>
      <c r="M75" s="2">
        <v>10</v>
      </c>
      <c r="N75" s="4">
        <v>0</v>
      </c>
      <c r="O75" s="2">
        <v>10</v>
      </c>
      <c r="P75" s="2">
        <v>20</v>
      </c>
      <c r="Q75" s="4">
        <v>0</v>
      </c>
      <c r="R75" s="4">
        <v>0</v>
      </c>
      <c r="S75" s="14" t="s">
        <v>164</v>
      </c>
      <c r="T75" s="19" t="s">
        <v>273</v>
      </c>
    </row>
    <row r="76" spans="1:20" ht="15" x14ac:dyDescent="0.3">
      <c r="A76" s="1" t="s">
        <v>169</v>
      </c>
      <c r="B76" s="1">
        <v>2024</v>
      </c>
      <c r="C76" s="1">
        <v>1</v>
      </c>
      <c r="D76" s="12">
        <v>132</v>
      </c>
      <c r="E76" s="8" t="s">
        <v>176</v>
      </c>
      <c r="F76" s="1">
        <v>103</v>
      </c>
      <c r="G76" s="1">
        <v>3</v>
      </c>
      <c r="H76" s="1">
        <v>3</v>
      </c>
      <c r="I76" s="1">
        <v>9</v>
      </c>
      <c r="J76" s="1">
        <v>0</v>
      </c>
      <c r="K76" s="1">
        <v>0</v>
      </c>
      <c r="L76" s="1">
        <v>0</v>
      </c>
      <c r="M76" s="3">
        <v>5</v>
      </c>
      <c r="N76" s="3">
        <v>5</v>
      </c>
      <c r="O76" s="3">
        <v>8</v>
      </c>
      <c r="P76" s="2">
        <v>14</v>
      </c>
      <c r="Q76" s="3">
        <v>4</v>
      </c>
      <c r="R76" s="4">
        <v>0</v>
      </c>
      <c r="S76" s="14" t="s">
        <v>177</v>
      </c>
      <c r="T76" s="19" t="s">
        <v>274</v>
      </c>
    </row>
    <row r="77" spans="1:20" ht="15" x14ac:dyDescent="0.3">
      <c r="A77" s="1" t="s">
        <v>170</v>
      </c>
      <c r="B77" s="1">
        <v>2024</v>
      </c>
      <c r="C77" s="1">
        <v>1</v>
      </c>
      <c r="D77" s="11">
        <v>140</v>
      </c>
      <c r="E77" s="1">
        <v>10.210000000000001</v>
      </c>
      <c r="F77" s="1">
        <v>100</v>
      </c>
      <c r="G77" s="1">
        <v>3</v>
      </c>
      <c r="H77" s="1">
        <v>3</v>
      </c>
      <c r="I77" s="1">
        <v>5</v>
      </c>
      <c r="J77" s="1">
        <v>0</v>
      </c>
      <c r="K77" s="1">
        <v>0</v>
      </c>
      <c r="L77" s="1">
        <v>0</v>
      </c>
      <c r="M77" s="3">
        <v>5</v>
      </c>
      <c r="N77" s="3">
        <v>5</v>
      </c>
      <c r="O77" s="4">
        <v>0</v>
      </c>
      <c r="P77" s="3">
        <v>5</v>
      </c>
      <c r="Q77" s="4">
        <v>0</v>
      </c>
      <c r="R77" s="3">
        <v>5</v>
      </c>
      <c r="S77" s="14" t="s">
        <v>178</v>
      </c>
      <c r="T77" s="19" t="s">
        <v>275</v>
      </c>
    </row>
    <row r="78" spans="1:20" ht="15" x14ac:dyDescent="0.3">
      <c r="A78" s="1" t="s">
        <v>171</v>
      </c>
      <c r="B78" s="1">
        <v>2024</v>
      </c>
      <c r="C78" s="1">
        <v>1</v>
      </c>
      <c r="D78" s="11">
        <v>144</v>
      </c>
      <c r="E78" s="1">
        <v>10.210000000000001</v>
      </c>
      <c r="F78" s="1">
        <v>91</v>
      </c>
      <c r="G78" s="1">
        <v>2</v>
      </c>
      <c r="H78" s="1">
        <v>4</v>
      </c>
      <c r="I78" s="1">
        <v>0</v>
      </c>
      <c r="J78" s="1">
        <v>0</v>
      </c>
      <c r="K78" s="1">
        <v>0</v>
      </c>
      <c r="L78" s="1">
        <v>0</v>
      </c>
      <c r="M78" s="4">
        <v>0</v>
      </c>
      <c r="N78" s="4">
        <v>0</v>
      </c>
      <c r="O78" s="3">
        <v>6</v>
      </c>
      <c r="P78" s="3">
        <v>6</v>
      </c>
      <c r="Q78" s="4">
        <v>0</v>
      </c>
      <c r="R78" s="4">
        <v>0</v>
      </c>
      <c r="S78" s="14" t="s">
        <v>179</v>
      </c>
      <c r="T78" s="19" t="s">
        <v>276</v>
      </c>
    </row>
    <row r="79" spans="1:20" ht="15" x14ac:dyDescent="0.3">
      <c r="A79" s="1" t="s">
        <v>172</v>
      </c>
      <c r="B79" s="1">
        <v>2024</v>
      </c>
      <c r="C79" s="1">
        <v>1</v>
      </c>
      <c r="D79" s="12">
        <v>132</v>
      </c>
      <c r="E79" s="1">
        <v>10.220000000000001</v>
      </c>
      <c r="F79" s="1">
        <v>113</v>
      </c>
      <c r="G79" s="1">
        <v>3</v>
      </c>
      <c r="H79" s="1">
        <v>4</v>
      </c>
      <c r="I79" s="1">
        <v>5</v>
      </c>
      <c r="J79" s="1">
        <v>0</v>
      </c>
      <c r="K79" s="1">
        <v>0</v>
      </c>
      <c r="L79" s="1">
        <v>0</v>
      </c>
      <c r="M79" s="3">
        <v>5</v>
      </c>
      <c r="N79" s="3">
        <v>5</v>
      </c>
      <c r="O79" s="3">
        <v>8</v>
      </c>
      <c r="P79" s="2">
        <v>13</v>
      </c>
      <c r="Q79" s="4">
        <v>0</v>
      </c>
      <c r="R79" s="3">
        <v>5</v>
      </c>
      <c r="S79" s="14" t="s">
        <v>180</v>
      </c>
      <c r="T79" s="19" t="s">
        <v>277</v>
      </c>
    </row>
    <row r="80" spans="1:20" ht="15" x14ac:dyDescent="0.3">
      <c r="A80" s="1" t="s">
        <v>173</v>
      </c>
      <c r="B80" s="1">
        <v>2026</v>
      </c>
      <c r="C80" s="1">
        <v>1</v>
      </c>
      <c r="D80" s="11">
        <v>144</v>
      </c>
      <c r="E80" s="1">
        <v>10.23</v>
      </c>
      <c r="F80" s="1">
        <v>139</v>
      </c>
      <c r="G80" s="1">
        <v>3</v>
      </c>
      <c r="H80" s="1">
        <v>4</v>
      </c>
      <c r="I80" s="1">
        <v>0</v>
      </c>
      <c r="J80" s="1">
        <v>0</v>
      </c>
      <c r="K80" s="1">
        <v>0</v>
      </c>
      <c r="L80" s="1">
        <v>0</v>
      </c>
      <c r="M80" s="4">
        <v>0</v>
      </c>
      <c r="N80" s="4">
        <v>0</v>
      </c>
      <c r="O80" s="3">
        <v>6</v>
      </c>
      <c r="P80" s="3">
        <v>6</v>
      </c>
      <c r="Q80" s="4">
        <v>0</v>
      </c>
      <c r="R80" s="4">
        <v>0</v>
      </c>
      <c r="S80" s="14" t="s">
        <v>181</v>
      </c>
      <c r="T80" s="19" t="s">
        <v>278</v>
      </c>
    </row>
    <row r="81" spans="1:20" ht="15" x14ac:dyDescent="0.3">
      <c r="A81" s="1" t="s">
        <v>174</v>
      </c>
      <c r="B81" s="1">
        <v>2026</v>
      </c>
      <c r="C81" s="1">
        <v>1</v>
      </c>
      <c r="D81" s="12">
        <v>137</v>
      </c>
      <c r="E81" s="1">
        <v>10.24</v>
      </c>
      <c r="F81" s="1">
        <v>121</v>
      </c>
      <c r="G81" s="1">
        <v>3</v>
      </c>
      <c r="H81" s="1">
        <v>3</v>
      </c>
      <c r="I81" s="1">
        <v>0</v>
      </c>
      <c r="J81" s="1">
        <v>0</v>
      </c>
      <c r="K81" s="1">
        <v>0</v>
      </c>
      <c r="L81" s="1">
        <v>0</v>
      </c>
      <c r="M81" s="4">
        <v>0</v>
      </c>
      <c r="N81" s="4">
        <v>5</v>
      </c>
      <c r="O81" s="3">
        <v>8</v>
      </c>
      <c r="P81" s="2">
        <v>13</v>
      </c>
      <c r="Q81" s="4">
        <v>0</v>
      </c>
      <c r="R81" s="4">
        <v>0</v>
      </c>
      <c r="S81" s="14" t="s">
        <v>182</v>
      </c>
      <c r="T81" s="19" t="s">
        <v>279</v>
      </c>
    </row>
    <row r="82" spans="1:20" ht="15" x14ac:dyDescent="0.3">
      <c r="A82" s="2" t="s">
        <v>175</v>
      </c>
      <c r="B82" s="1">
        <v>2026</v>
      </c>
      <c r="C82" s="1">
        <v>1</v>
      </c>
      <c r="D82" s="12">
        <v>127</v>
      </c>
      <c r="E82" s="1">
        <v>10.25</v>
      </c>
      <c r="F82" s="1">
        <v>155</v>
      </c>
      <c r="G82" s="2">
        <v>4</v>
      </c>
      <c r="H82" s="1">
        <v>4</v>
      </c>
      <c r="I82" s="1">
        <v>0</v>
      </c>
      <c r="J82" s="1">
        <v>0</v>
      </c>
      <c r="K82" s="1">
        <v>0</v>
      </c>
      <c r="L82" s="1">
        <v>0</v>
      </c>
      <c r="M82" s="2">
        <v>10</v>
      </c>
      <c r="N82" s="3">
        <v>5</v>
      </c>
      <c r="O82" s="3">
        <v>8</v>
      </c>
      <c r="P82" s="2">
        <v>10</v>
      </c>
      <c r="Q82" s="3">
        <v>5</v>
      </c>
      <c r="R82" s="2">
        <v>8</v>
      </c>
      <c r="S82" s="14" t="s">
        <v>184</v>
      </c>
      <c r="T82" s="19" t="s">
        <v>280</v>
      </c>
    </row>
    <row r="83" spans="1:20" ht="15" x14ac:dyDescent="0.3">
      <c r="A83" s="1" t="s">
        <v>315</v>
      </c>
      <c r="B83" s="1">
        <v>2026</v>
      </c>
      <c r="C83" s="1">
        <v>1</v>
      </c>
      <c r="D83" s="12">
        <v>139</v>
      </c>
      <c r="E83" s="1">
        <v>10.26</v>
      </c>
      <c r="F83" s="1">
        <v>127</v>
      </c>
      <c r="G83" s="1">
        <v>3</v>
      </c>
      <c r="H83" s="1">
        <v>4</v>
      </c>
      <c r="I83" s="1">
        <v>0</v>
      </c>
      <c r="J83" s="1">
        <v>0</v>
      </c>
      <c r="K83" s="1">
        <v>0</v>
      </c>
      <c r="L83" s="1">
        <v>0</v>
      </c>
      <c r="M83" s="3">
        <v>5</v>
      </c>
      <c r="N83" s="4">
        <v>0</v>
      </c>
      <c r="O83" s="3">
        <v>6</v>
      </c>
      <c r="P83" s="3">
        <v>6</v>
      </c>
      <c r="Q83" s="4">
        <v>0</v>
      </c>
      <c r="R83" s="3">
        <v>5</v>
      </c>
      <c r="S83" s="14" t="s">
        <v>186</v>
      </c>
      <c r="T83" s="19" t="s">
        <v>281</v>
      </c>
    </row>
    <row r="84" spans="1:20" ht="15" x14ac:dyDescent="0.3">
      <c r="A84" s="1" t="s">
        <v>185</v>
      </c>
      <c r="B84" s="1">
        <v>2026</v>
      </c>
      <c r="C84" s="1">
        <v>1</v>
      </c>
      <c r="D84" s="11">
        <v>140</v>
      </c>
      <c r="E84" s="1">
        <v>10.27</v>
      </c>
      <c r="F84" s="1">
        <v>117</v>
      </c>
      <c r="G84" s="1">
        <v>3</v>
      </c>
      <c r="H84" s="1">
        <v>4</v>
      </c>
      <c r="I84" s="1">
        <v>4</v>
      </c>
      <c r="J84" s="1">
        <v>0</v>
      </c>
      <c r="K84" s="1">
        <v>0</v>
      </c>
      <c r="L84" s="1">
        <v>0</v>
      </c>
      <c r="M84" s="4">
        <v>0</v>
      </c>
      <c r="N84" s="4">
        <v>0</v>
      </c>
      <c r="O84" s="2">
        <v>10</v>
      </c>
      <c r="P84" s="3">
        <v>8</v>
      </c>
      <c r="Q84" s="3">
        <v>2</v>
      </c>
      <c r="R84" s="4">
        <v>0</v>
      </c>
      <c r="S84" s="14" t="s">
        <v>187</v>
      </c>
      <c r="T84" s="19" t="s">
        <v>282</v>
      </c>
    </row>
    <row r="85" spans="1:20" ht="15" x14ac:dyDescent="0.3">
      <c r="A85" s="1" t="s">
        <v>188</v>
      </c>
      <c r="B85" s="1">
        <v>2026</v>
      </c>
      <c r="C85" s="1">
        <v>1</v>
      </c>
      <c r="D85" s="12">
        <v>138</v>
      </c>
      <c r="E85" s="1">
        <v>10.28</v>
      </c>
      <c r="F85" s="1">
        <v>96</v>
      </c>
      <c r="G85" s="1">
        <v>3</v>
      </c>
      <c r="H85" s="1">
        <v>4</v>
      </c>
      <c r="I85" s="1">
        <v>2</v>
      </c>
      <c r="J85" s="1">
        <v>0</v>
      </c>
      <c r="K85" s="1">
        <v>0</v>
      </c>
      <c r="L85" s="1">
        <v>0</v>
      </c>
      <c r="M85" s="4">
        <v>0</v>
      </c>
      <c r="N85" s="2">
        <v>10</v>
      </c>
      <c r="O85" s="3">
        <v>2</v>
      </c>
      <c r="P85" s="3">
        <v>7</v>
      </c>
      <c r="Q85" s="4">
        <v>0</v>
      </c>
      <c r="R85" s="3">
        <v>5</v>
      </c>
      <c r="S85" s="14" t="s">
        <v>189</v>
      </c>
      <c r="T85" s="19" t="s">
        <v>299</v>
      </c>
    </row>
    <row r="86" spans="1:20" ht="15" x14ac:dyDescent="0.3">
      <c r="A86" s="1" t="s">
        <v>190</v>
      </c>
      <c r="B86" s="1">
        <v>2026</v>
      </c>
      <c r="C86" s="1">
        <v>1</v>
      </c>
      <c r="D86" s="11">
        <v>144</v>
      </c>
      <c r="E86" s="1">
        <v>10.29</v>
      </c>
      <c r="F86" s="1">
        <v>117</v>
      </c>
      <c r="G86" s="1">
        <v>3</v>
      </c>
      <c r="H86" s="1">
        <v>5</v>
      </c>
      <c r="I86" s="1">
        <v>0</v>
      </c>
      <c r="J86" s="1">
        <v>0</v>
      </c>
      <c r="K86" s="1">
        <v>0</v>
      </c>
      <c r="L86" s="1">
        <v>0</v>
      </c>
      <c r="M86" s="4">
        <v>0</v>
      </c>
      <c r="N86" s="4">
        <v>0</v>
      </c>
      <c r="O86" s="3">
        <v>6</v>
      </c>
      <c r="P86" s="3">
        <v>0</v>
      </c>
      <c r="Q86" s="4">
        <v>0</v>
      </c>
      <c r="R86" s="3">
        <v>6</v>
      </c>
      <c r="S86" s="14" t="s">
        <v>191</v>
      </c>
      <c r="T86" s="19" t="s">
        <v>283</v>
      </c>
    </row>
    <row r="87" spans="1:20" ht="15" x14ac:dyDescent="0.3">
      <c r="A87" s="1" t="s">
        <v>192</v>
      </c>
      <c r="B87" s="1">
        <v>2026</v>
      </c>
      <c r="C87" s="1">
        <v>1</v>
      </c>
      <c r="D87" s="12">
        <v>139</v>
      </c>
      <c r="E87" s="8" t="s">
        <v>193</v>
      </c>
      <c r="F87" s="1">
        <v>116</v>
      </c>
      <c r="G87" s="1">
        <v>3</v>
      </c>
      <c r="H87" s="1">
        <v>4</v>
      </c>
      <c r="I87" s="1">
        <v>0</v>
      </c>
      <c r="J87" s="1">
        <v>0</v>
      </c>
      <c r="K87" s="1">
        <v>0</v>
      </c>
      <c r="L87" s="1">
        <v>0</v>
      </c>
      <c r="M87" s="4">
        <v>0</v>
      </c>
      <c r="N87" s="3">
        <v>5</v>
      </c>
      <c r="O87" s="3">
        <v>6</v>
      </c>
      <c r="P87" s="3">
        <v>6</v>
      </c>
      <c r="Q87" s="3">
        <v>5</v>
      </c>
      <c r="R87" s="4">
        <v>0</v>
      </c>
      <c r="S87" s="14" t="s">
        <v>194</v>
      </c>
      <c r="T87" s="19" t="s">
        <v>284</v>
      </c>
    </row>
    <row r="88" spans="1:20" ht="15" x14ac:dyDescent="0.3">
      <c r="A88" s="17" t="s">
        <v>53</v>
      </c>
      <c r="B88" s="1">
        <v>2024</v>
      </c>
      <c r="C88" s="1">
        <v>1</v>
      </c>
      <c r="D88" s="11">
        <v>144</v>
      </c>
      <c r="E88" s="1">
        <v>11.1</v>
      </c>
      <c r="F88" s="1">
        <v>178</v>
      </c>
      <c r="G88" s="2">
        <v>4</v>
      </c>
      <c r="H88" s="1">
        <v>5</v>
      </c>
      <c r="I88" s="1">
        <v>0</v>
      </c>
      <c r="J88" s="1">
        <v>0</v>
      </c>
      <c r="K88" s="1">
        <v>0</v>
      </c>
      <c r="L88" s="1">
        <v>0</v>
      </c>
      <c r="M88" s="4">
        <v>0</v>
      </c>
      <c r="N88" s="4">
        <v>0</v>
      </c>
      <c r="O88" s="3">
        <v>6</v>
      </c>
      <c r="P88" s="3">
        <v>6</v>
      </c>
      <c r="Q88" s="4">
        <v>0</v>
      </c>
      <c r="R88" s="4">
        <v>0</v>
      </c>
      <c r="S88" s="14" t="s">
        <v>195</v>
      </c>
      <c r="T88" s="19" t="s">
        <v>285</v>
      </c>
    </row>
    <row r="89" spans="1:20" ht="15" x14ac:dyDescent="0.3">
      <c r="A89" s="2" t="s">
        <v>197</v>
      </c>
      <c r="B89" s="1">
        <v>2026</v>
      </c>
      <c r="C89" s="1">
        <v>1</v>
      </c>
      <c r="D89" s="10">
        <v>126</v>
      </c>
      <c r="E89" s="1">
        <v>11.3</v>
      </c>
      <c r="F89" s="1">
        <v>132</v>
      </c>
      <c r="G89" s="2">
        <v>4</v>
      </c>
      <c r="H89" s="1">
        <v>3</v>
      </c>
      <c r="I89" s="1">
        <v>10</v>
      </c>
      <c r="J89" s="1">
        <v>0</v>
      </c>
      <c r="K89" s="1">
        <v>0</v>
      </c>
      <c r="L89" s="1">
        <v>0</v>
      </c>
      <c r="M89" s="4">
        <v>0</v>
      </c>
      <c r="N89" s="2">
        <v>10</v>
      </c>
      <c r="O89" s="2">
        <v>14</v>
      </c>
      <c r="P89" s="2">
        <v>24</v>
      </c>
      <c r="Q89" s="4">
        <v>0</v>
      </c>
      <c r="R89" s="4">
        <v>0</v>
      </c>
      <c r="S89" s="14" t="s">
        <v>196</v>
      </c>
      <c r="T89" s="19" t="s">
        <v>286</v>
      </c>
    </row>
    <row r="90" spans="1:20" ht="15" x14ac:dyDescent="0.3">
      <c r="A90" s="1" t="s">
        <v>198</v>
      </c>
      <c r="B90" s="1">
        <v>2026</v>
      </c>
      <c r="C90" s="1">
        <v>1</v>
      </c>
      <c r="D90" s="11">
        <v>140</v>
      </c>
      <c r="E90" s="1">
        <v>11.4</v>
      </c>
      <c r="F90" s="1">
        <v>129</v>
      </c>
      <c r="G90" s="1">
        <v>3</v>
      </c>
      <c r="H90" s="1">
        <v>4</v>
      </c>
      <c r="I90" s="1">
        <v>10</v>
      </c>
      <c r="J90" s="1">
        <v>0</v>
      </c>
      <c r="K90" s="1">
        <v>0</v>
      </c>
      <c r="L90" s="1">
        <v>0</v>
      </c>
      <c r="M90" s="1">
        <v>5</v>
      </c>
      <c r="N90" s="1">
        <v>5</v>
      </c>
      <c r="O90" s="1">
        <v>0</v>
      </c>
      <c r="P90" s="6">
        <v>0</v>
      </c>
      <c r="Q90" s="6">
        <v>10</v>
      </c>
      <c r="R90" s="6">
        <v>0</v>
      </c>
      <c r="S90" s="14" t="s">
        <v>199</v>
      </c>
      <c r="T90" s="19" t="s">
        <v>287</v>
      </c>
    </row>
    <row r="91" spans="1:20" ht="15" x14ac:dyDescent="0.3">
      <c r="A91" s="1" t="s">
        <v>200</v>
      </c>
      <c r="B91" s="1">
        <v>2026</v>
      </c>
      <c r="C91" s="1">
        <v>1</v>
      </c>
      <c r="D91" s="12">
        <v>131</v>
      </c>
      <c r="E91" s="1">
        <v>11.5</v>
      </c>
      <c r="F91" s="1">
        <v>114</v>
      </c>
      <c r="G91" s="1">
        <v>3</v>
      </c>
      <c r="H91" s="1">
        <v>4</v>
      </c>
      <c r="I91" s="1">
        <v>10</v>
      </c>
      <c r="J91" s="1">
        <v>0</v>
      </c>
      <c r="K91" s="1">
        <v>0</v>
      </c>
      <c r="L91" s="1">
        <v>0</v>
      </c>
      <c r="M91" s="1">
        <v>0</v>
      </c>
      <c r="N91" s="1">
        <v>15</v>
      </c>
      <c r="O91" s="1">
        <v>4</v>
      </c>
      <c r="P91" s="6">
        <v>14</v>
      </c>
      <c r="Q91" s="6">
        <v>0</v>
      </c>
      <c r="R91" s="6">
        <v>5</v>
      </c>
      <c r="S91" s="14" t="s">
        <v>201</v>
      </c>
      <c r="T91" s="19" t="s">
        <v>288</v>
      </c>
    </row>
    <row r="92" spans="1:20" ht="15" x14ac:dyDescent="0.3">
      <c r="A92" s="1" t="s">
        <v>202</v>
      </c>
      <c r="B92" s="1">
        <v>2026</v>
      </c>
      <c r="C92" s="1">
        <v>1</v>
      </c>
      <c r="D92" s="12">
        <v>136</v>
      </c>
      <c r="E92" s="1">
        <v>11.6</v>
      </c>
      <c r="F92" s="1">
        <v>136</v>
      </c>
      <c r="G92" s="1">
        <v>3</v>
      </c>
      <c r="H92" s="1">
        <v>4</v>
      </c>
      <c r="I92" s="1">
        <v>0</v>
      </c>
      <c r="J92" s="1">
        <v>0</v>
      </c>
      <c r="K92" s="1">
        <v>0</v>
      </c>
      <c r="L92" s="1">
        <v>0</v>
      </c>
      <c r="M92" s="1">
        <v>10</v>
      </c>
      <c r="N92" s="1">
        <v>0</v>
      </c>
      <c r="O92" s="1">
        <v>4</v>
      </c>
      <c r="P92" s="6">
        <v>4</v>
      </c>
      <c r="Q92" s="6">
        <v>10</v>
      </c>
      <c r="R92" s="6">
        <v>0</v>
      </c>
      <c r="S92" s="14" t="s">
        <v>203</v>
      </c>
      <c r="T92" s="19" t="s">
        <v>289</v>
      </c>
    </row>
    <row r="93" spans="1:20" ht="15" x14ac:dyDescent="0.3">
      <c r="A93" s="1" t="s">
        <v>204</v>
      </c>
      <c r="B93" s="1">
        <v>2026</v>
      </c>
      <c r="C93" s="1">
        <v>1</v>
      </c>
      <c r="D93" s="12">
        <v>130</v>
      </c>
      <c r="E93" s="1">
        <v>11.7</v>
      </c>
      <c r="F93" s="1">
        <v>128</v>
      </c>
      <c r="G93" s="1">
        <v>3</v>
      </c>
      <c r="H93" s="1">
        <v>4</v>
      </c>
      <c r="I93" s="1">
        <v>0</v>
      </c>
      <c r="J93" s="1">
        <v>0</v>
      </c>
      <c r="K93" s="1">
        <v>0</v>
      </c>
      <c r="L93" s="1">
        <v>0</v>
      </c>
      <c r="M93" s="1">
        <v>5</v>
      </c>
      <c r="N93" s="1">
        <v>5</v>
      </c>
      <c r="O93" s="1">
        <v>10</v>
      </c>
      <c r="P93" s="6">
        <v>15</v>
      </c>
      <c r="Q93" s="6">
        <v>5</v>
      </c>
      <c r="R93" s="6">
        <v>0</v>
      </c>
      <c r="S93" s="14" t="s">
        <v>205</v>
      </c>
      <c r="T93" s="19" t="s">
        <v>290</v>
      </c>
    </row>
    <row r="94" spans="1:20" ht="15" x14ac:dyDescent="0.3">
      <c r="A94" s="1" t="s">
        <v>206</v>
      </c>
      <c r="B94" s="1">
        <v>2026</v>
      </c>
      <c r="C94" s="1">
        <v>1</v>
      </c>
      <c r="D94" s="12">
        <v>131</v>
      </c>
      <c r="E94" s="1">
        <v>11.9</v>
      </c>
      <c r="F94" s="1">
        <v>112</v>
      </c>
      <c r="G94" s="1">
        <v>3</v>
      </c>
      <c r="H94" s="1">
        <v>4</v>
      </c>
      <c r="I94" s="1">
        <v>5</v>
      </c>
      <c r="J94" s="1">
        <v>0</v>
      </c>
      <c r="K94" s="1">
        <v>0</v>
      </c>
      <c r="L94" s="1">
        <v>0</v>
      </c>
      <c r="M94" s="1">
        <v>5</v>
      </c>
      <c r="N94" s="1">
        <v>5</v>
      </c>
      <c r="O94" s="1">
        <v>9</v>
      </c>
      <c r="P94" s="6">
        <v>9</v>
      </c>
      <c r="Q94" s="6">
        <v>7</v>
      </c>
      <c r="R94" s="6">
        <v>3</v>
      </c>
      <c r="S94" s="14" t="s">
        <v>207</v>
      </c>
      <c r="T94" s="19" t="s">
        <v>300</v>
      </c>
    </row>
    <row r="95" spans="1:20" ht="15" x14ac:dyDescent="0.3">
      <c r="A95" s="17" t="s">
        <v>53</v>
      </c>
      <c r="B95" s="1">
        <v>2021</v>
      </c>
      <c r="C95" s="1">
        <v>1</v>
      </c>
      <c r="D95" s="11">
        <v>150</v>
      </c>
      <c r="E95" s="8" t="s">
        <v>301</v>
      </c>
      <c r="F95" s="1">
        <v>132</v>
      </c>
      <c r="G95" s="1">
        <v>2</v>
      </c>
      <c r="H95" s="1">
        <v>4</v>
      </c>
      <c r="I95" s="1">
        <v>0</v>
      </c>
      <c r="J95" s="1">
        <v>0</v>
      </c>
      <c r="K95" s="1">
        <v>0</v>
      </c>
      <c r="L95" s="1">
        <v>0</v>
      </c>
      <c r="M95" s="1">
        <v>0</v>
      </c>
      <c r="N95" s="1">
        <v>0</v>
      </c>
      <c r="O95" s="1">
        <v>0</v>
      </c>
      <c r="P95" s="6">
        <v>0</v>
      </c>
      <c r="Q95" s="6">
        <v>0</v>
      </c>
      <c r="R95" s="6">
        <v>0</v>
      </c>
      <c r="S95" s="14"/>
      <c r="T95" s="18" t="s">
        <v>302</v>
      </c>
    </row>
    <row r="96" spans="1:20" ht="15" x14ac:dyDescent="0.3">
      <c r="A96" s="1" t="s">
        <v>303</v>
      </c>
      <c r="B96" s="1">
        <v>2026</v>
      </c>
      <c r="C96" s="1">
        <v>1</v>
      </c>
      <c r="D96" s="10">
        <v>112</v>
      </c>
      <c r="E96" s="1">
        <v>11.11</v>
      </c>
      <c r="F96" s="1">
        <v>180</v>
      </c>
      <c r="G96" s="2">
        <v>5</v>
      </c>
      <c r="H96" s="1">
        <v>4</v>
      </c>
      <c r="I96" s="1">
        <v>13</v>
      </c>
      <c r="J96" s="1">
        <v>0</v>
      </c>
      <c r="K96" s="1">
        <v>0</v>
      </c>
      <c r="L96" s="1">
        <v>0</v>
      </c>
      <c r="M96" s="1">
        <v>5</v>
      </c>
      <c r="N96" s="1">
        <v>15</v>
      </c>
      <c r="O96" s="1">
        <v>18</v>
      </c>
      <c r="P96" s="6">
        <v>14</v>
      </c>
      <c r="Q96" s="6">
        <v>9</v>
      </c>
      <c r="R96" s="6">
        <v>15</v>
      </c>
      <c r="S96" s="14" t="s">
        <v>304</v>
      </c>
      <c r="T96" s="18" t="s">
        <v>305</v>
      </c>
    </row>
    <row r="97" spans="1:20" ht="15" x14ac:dyDescent="0.3">
      <c r="A97" s="2" t="s">
        <v>306</v>
      </c>
      <c r="B97" s="1">
        <v>2026</v>
      </c>
      <c r="C97" s="1">
        <v>1</v>
      </c>
      <c r="D97" s="10">
        <v>116</v>
      </c>
      <c r="E97" s="1">
        <v>11.12</v>
      </c>
      <c r="F97" s="1">
        <v>179</v>
      </c>
      <c r="G97" s="2">
        <v>5</v>
      </c>
      <c r="H97" s="1">
        <v>5</v>
      </c>
      <c r="I97" s="1">
        <v>12</v>
      </c>
      <c r="J97" s="1">
        <v>0</v>
      </c>
      <c r="K97" s="1">
        <v>0</v>
      </c>
      <c r="L97" s="1">
        <v>0</v>
      </c>
      <c r="M97" s="1">
        <v>5</v>
      </c>
      <c r="N97" s="1">
        <v>15</v>
      </c>
      <c r="O97" s="1">
        <v>14</v>
      </c>
      <c r="P97" s="6">
        <v>21</v>
      </c>
      <c r="Q97" s="6">
        <v>6</v>
      </c>
      <c r="R97" s="6">
        <v>7</v>
      </c>
      <c r="S97" s="14" t="s">
        <v>307</v>
      </c>
      <c r="T97" s="18" t="s">
        <v>308</v>
      </c>
    </row>
    <row r="98" spans="1:20" ht="15" x14ac:dyDescent="0.3">
      <c r="A98" s="1" t="s">
        <v>309</v>
      </c>
      <c r="B98" s="1">
        <v>2026</v>
      </c>
      <c r="C98" s="1">
        <v>1</v>
      </c>
      <c r="D98" s="10">
        <v>124</v>
      </c>
      <c r="E98" s="1">
        <v>11.13</v>
      </c>
      <c r="F98" s="1">
        <v>178</v>
      </c>
      <c r="G98" s="2">
        <v>5</v>
      </c>
      <c r="H98" s="1">
        <v>4</v>
      </c>
      <c r="I98" s="1">
        <v>2</v>
      </c>
      <c r="J98" s="1">
        <v>0</v>
      </c>
      <c r="K98" s="1">
        <v>0</v>
      </c>
      <c r="L98" s="1">
        <v>0</v>
      </c>
      <c r="M98" s="1">
        <v>15</v>
      </c>
      <c r="N98" s="1">
        <v>5</v>
      </c>
      <c r="O98" s="1">
        <v>6</v>
      </c>
      <c r="P98" s="6">
        <v>21</v>
      </c>
      <c r="Q98" s="6">
        <v>5</v>
      </c>
      <c r="R98" s="6">
        <v>0</v>
      </c>
      <c r="S98" s="14" t="s">
        <v>310</v>
      </c>
      <c r="T98" s="18" t="s">
        <v>311</v>
      </c>
    </row>
    <row r="99" spans="1:20" ht="15" x14ac:dyDescent="0.3">
      <c r="A99" s="1" t="s">
        <v>316</v>
      </c>
      <c r="B99" s="1">
        <v>2025</v>
      </c>
      <c r="C99" s="1">
        <v>1</v>
      </c>
      <c r="D99" s="12">
        <v>134</v>
      </c>
      <c r="E99" s="1">
        <v>11.14</v>
      </c>
      <c r="F99" s="1">
        <v>138</v>
      </c>
      <c r="G99" s="1">
        <v>3</v>
      </c>
      <c r="H99" s="1">
        <v>4</v>
      </c>
      <c r="I99" s="1">
        <v>7</v>
      </c>
      <c r="J99" s="1">
        <v>0</v>
      </c>
      <c r="K99" s="1">
        <v>0</v>
      </c>
      <c r="L99" s="1">
        <v>0</v>
      </c>
      <c r="M99" s="1">
        <v>5</v>
      </c>
      <c r="N99" s="1">
        <v>5</v>
      </c>
      <c r="O99" s="1">
        <v>6</v>
      </c>
      <c r="P99" s="1">
        <v>7</v>
      </c>
      <c r="Q99" s="1">
        <v>0</v>
      </c>
      <c r="R99" s="1">
        <v>9</v>
      </c>
      <c r="S99" s="14" t="s">
        <v>318</v>
      </c>
      <c r="T99" s="18" t="s">
        <v>317</v>
      </c>
    </row>
    <row r="100" spans="1:20" ht="15" x14ac:dyDescent="0.3">
      <c r="A100" s="1" t="s">
        <v>312</v>
      </c>
      <c r="B100" s="1">
        <v>2025</v>
      </c>
      <c r="C100" s="1">
        <v>1</v>
      </c>
      <c r="D100" s="10">
        <v>126</v>
      </c>
      <c r="E100" s="1">
        <v>11.18</v>
      </c>
      <c r="F100" s="1">
        <v>90</v>
      </c>
      <c r="G100" s="1">
        <v>3</v>
      </c>
      <c r="H100" s="1">
        <v>4</v>
      </c>
      <c r="I100" s="1">
        <v>16</v>
      </c>
      <c r="J100" s="1">
        <v>0</v>
      </c>
      <c r="K100" s="1">
        <v>0</v>
      </c>
      <c r="L100" s="1">
        <v>0</v>
      </c>
      <c r="M100" s="1">
        <v>0</v>
      </c>
      <c r="N100" s="1">
        <v>10</v>
      </c>
      <c r="O100" s="1">
        <v>14</v>
      </c>
      <c r="P100" s="6">
        <v>10</v>
      </c>
      <c r="Q100" s="6">
        <v>9</v>
      </c>
      <c r="R100" s="6">
        <v>5</v>
      </c>
      <c r="S100" s="14" t="s">
        <v>313</v>
      </c>
      <c r="T100" s="18" t="s">
        <v>314</v>
      </c>
    </row>
    <row r="101" spans="1:20" ht="15" x14ac:dyDescent="0.3">
      <c r="A101" s="1" t="s">
        <v>319</v>
      </c>
      <c r="B101" s="1">
        <v>2024</v>
      </c>
      <c r="C101" s="1">
        <v>1</v>
      </c>
      <c r="D101" s="11">
        <v>140</v>
      </c>
      <c r="E101" s="1">
        <v>11.19</v>
      </c>
      <c r="F101" s="1">
        <v>159</v>
      </c>
      <c r="G101" s="1">
        <v>3</v>
      </c>
      <c r="H101" s="1">
        <v>5</v>
      </c>
      <c r="I101" s="1">
        <v>0</v>
      </c>
      <c r="J101" s="1">
        <v>0</v>
      </c>
      <c r="K101" s="1">
        <v>0</v>
      </c>
      <c r="L101" s="1">
        <v>0</v>
      </c>
      <c r="M101" s="1">
        <v>5</v>
      </c>
      <c r="N101" s="1">
        <v>5</v>
      </c>
      <c r="O101" s="1">
        <v>0</v>
      </c>
      <c r="P101" s="6">
        <v>10</v>
      </c>
      <c r="Q101" s="6">
        <v>0</v>
      </c>
      <c r="R101" s="6">
        <v>0</v>
      </c>
      <c r="S101" s="14" t="s">
        <v>320</v>
      </c>
      <c r="T101" s="18" t="s">
        <v>321</v>
      </c>
    </row>
    <row r="102" spans="1:20" ht="15" x14ac:dyDescent="0.3">
      <c r="A102" s="1" t="s">
        <v>323</v>
      </c>
      <c r="B102" s="1">
        <v>2024</v>
      </c>
      <c r="C102" s="1">
        <v>1</v>
      </c>
      <c r="D102" s="13">
        <v>146</v>
      </c>
      <c r="E102" s="8" t="s">
        <v>326</v>
      </c>
      <c r="F102" s="1">
        <v>147</v>
      </c>
      <c r="G102" s="1">
        <v>3</v>
      </c>
      <c r="H102" s="1">
        <v>5</v>
      </c>
      <c r="I102" s="1">
        <v>0</v>
      </c>
      <c r="J102" s="1">
        <v>0</v>
      </c>
      <c r="K102" s="1">
        <v>0</v>
      </c>
      <c r="L102" s="1">
        <v>0</v>
      </c>
      <c r="M102" s="1">
        <v>0</v>
      </c>
      <c r="N102" s="1">
        <v>0</v>
      </c>
      <c r="O102" s="1">
        <v>4</v>
      </c>
      <c r="P102" s="6">
        <v>4</v>
      </c>
      <c r="Q102" s="6">
        <v>0</v>
      </c>
      <c r="R102" s="6">
        <v>0</v>
      </c>
      <c r="S102" s="14" t="s">
        <v>324</v>
      </c>
      <c r="T102" s="18" t="s">
        <v>322</v>
      </c>
    </row>
    <row r="103" spans="1:20" ht="15" x14ac:dyDescent="0.3">
      <c r="A103" s="1" t="s">
        <v>325</v>
      </c>
      <c r="B103" s="1">
        <v>2024</v>
      </c>
      <c r="C103" s="1">
        <v>1</v>
      </c>
      <c r="D103" s="13">
        <v>132</v>
      </c>
      <c r="E103" s="1">
        <v>11.21</v>
      </c>
      <c r="F103" s="1">
        <v>132</v>
      </c>
      <c r="G103" s="2">
        <v>4</v>
      </c>
      <c r="H103" s="1">
        <v>4</v>
      </c>
      <c r="I103" s="1">
        <v>0</v>
      </c>
      <c r="J103" s="1">
        <v>0</v>
      </c>
      <c r="K103" s="1">
        <v>0</v>
      </c>
      <c r="L103" s="1">
        <v>0</v>
      </c>
      <c r="M103" s="1">
        <v>10</v>
      </c>
      <c r="N103" s="1">
        <v>0</v>
      </c>
      <c r="O103" s="1">
        <v>8</v>
      </c>
      <c r="P103" s="6">
        <v>2</v>
      </c>
      <c r="Q103" s="6">
        <v>11</v>
      </c>
      <c r="R103" s="6">
        <v>5</v>
      </c>
      <c r="S103" s="14" t="s">
        <v>327</v>
      </c>
      <c r="T103" s="18" t="s">
        <v>328</v>
      </c>
    </row>
    <row r="104" spans="1:20" ht="15" x14ac:dyDescent="0.3">
      <c r="A104" s="1" t="s">
        <v>329</v>
      </c>
      <c r="B104" s="1">
        <v>2026</v>
      </c>
      <c r="C104" s="1">
        <v>1</v>
      </c>
      <c r="D104" s="13">
        <v>137</v>
      </c>
      <c r="E104" s="1">
        <v>11.24</v>
      </c>
      <c r="F104" s="1">
        <v>168</v>
      </c>
      <c r="G104" s="2">
        <v>4</v>
      </c>
      <c r="H104" s="1">
        <v>5</v>
      </c>
      <c r="I104" s="1">
        <v>2</v>
      </c>
      <c r="J104" s="1">
        <v>0</v>
      </c>
      <c r="K104" s="1">
        <v>0</v>
      </c>
      <c r="L104" s="1">
        <v>0</v>
      </c>
      <c r="M104" s="1">
        <v>0</v>
      </c>
      <c r="N104" s="1">
        <v>5</v>
      </c>
      <c r="O104" s="1">
        <v>8</v>
      </c>
      <c r="P104" s="6">
        <v>8</v>
      </c>
      <c r="Q104" s="6">
        <v>5</v>
      </c>
      <c r="R104" s="6">
        <v>0</v>
      </c>
      <c r="S104" s="14" t="s">
        <v>330</v>
      </c>
      <c r="T104" s="18" t="s">
        <v>331</v>
      </c>
    </row>
    <row r="105" spans="1:20" ht="15" x14ac:dyDescent="0.3">
      <c r="A105" s="1" t="s">
        <v>332</v>
      </c>
      <c r="B105" s="1">
        <v>2026</v>
      </c>
      <c r="C105" s="1">
        <v>1</v>
      </c>
      <c r="D105" s="13">
        <v>117</v>
      </c>
      <c r="E105" s="1">
        <v>11.26</v>
      </c>
      <c r="F105" s="1">
        <v>179</v>
      </c>
      <c r="G105" s="1">
        <v>5</v>
      </c>
      <c r="H105" s="1">
        <v>4</v>
      </c>
      <c r="I105" s="1">
        <v>0</v>
      </c>
      <c r="J105" s="1">
        <v>0</v>
      </c>
      <c r="K105" s="1">
        <v>0</v>
      </c>
      <c r="L105" s="1">
        <v>0</v>
      </c>
      <c r="M105" s="1">
        <v>5</v>
      </c>
      <c r="N105" s="1">
        <v>10</v>
      </c>
      <c r="O105" s="1">
        <v>18</v>
      </c>
      <c r="P105" s="6">
        <v>23</v>
      </c>
      <c r="Q105" s="6">
        <v>2</v>
      </c>
      <c r="R105" s="6">
        <v>8</v>
      </c>
      <c r="S105" s="14" t="s">
        <v>333</v>
      </c>
      <c r="T105" s="18" t="s">
        <v>334</v>
      </c>
    </row>
    <row r="106" spans="1:20" ht="15" x14ac:dyDescent="0.3">
      <c r="D106" s="13"/>
      <c r="P106" s="6"/>
      <c r="Q106" s="6"/>
      <c r="R106" s="6"/>
      <c r="S106" s="14"/>
      <c r="T106" s="18"/>
    </row>
    <row r="107" spans="1:20" ht="15" x14ac:dyDescent="0.3">
      <c r="D107" s="13"/>
      <c r="P107" s="6"/>
      <c r="Q107" s="6"/>
      <c r="R107" s="6"/>
      <c r="S107" s="14"/>
      <c r="T107" s="18"/>
    </row>
    <row r="108" spans="1:20" ht="15" x14ac:dyDescent="0.3">
      <c r="D108" s="13"/>
      <c r="P108" s="6"/>
      <c r="Q108" s="6"/>
      <c r="R108" s="6"/>
      <c r="S108" s="14"/>
      <c r="T108" s="18"/>
    </row>
    <row r="109" spans="1:20" ht="15" x14ac:dyDescent="0.3">
      <c r="D109" s="13"/>
      <c r="P109" s="6"/>
      <c r="Q109" s="6"/>
      <c r="R109" s="6"/>
      <c r="S109" s="14"/>
      <c r="T109" s="18"/>
    </row>
    <row r="110" spans="1:20" ht="15" x14ac:dyDescent="0.3">
      <c r="D110" s="13"/>
      <c r="P110" s="6"/>
      <c r="Q110" s="6"/>
      <c r="R110" s="6"/>
      <c r="S110" s="14"/>
      <c r="T110" s="18"/>
    </row>
    <row r="111" spans="1:20" ht="15" x14ac:dyDescent="0.3">
      <c r="D111" s="13"/>
      <c r="P111" s="6"/>
      <c r="Q111" s="6"/>
      <c r="R111" s="6"/>
      <c r="S111" s="14"/>
      <c r="T111" s="18"/>
    </row>
    <row r="112" spans="1:20" ht="15" x14ac:dyDescent="0.3">
      <c r="D112" s="13"/>
      <c r="P112" s="6"/>
      <c r="Q112" s="6"/>
      <c r="R112" s="6"/>
      <c r="T112" s="18"/>
    </row>
    <row r="113" spans="4:20" ht="15" x14ac:dyDescent="0.3">
      <c r="D113" s="13"/>
      <c r="P113" s="6"/>
      <c r="Q113" s="6"/>
      <c r="R113" s="6"/>
      <c r="T113" s="18"/>
    </row>
    <row r="114" spans="4:20" ht="15" x14ac:dyDescent="0.3">
      <c r="D114" s="13"/>
      <c r="P114" s="6"/>
      <c r="Q114" s="6"/>
      <c r="R114" s="6"/>
      <c r="T114" s="18"/>
    </row>
    <row r="115" spans="4:20" ht="15" x14ac:dyDescent="0.3">
      <c r="D115" s="13"/>
      <c r="P115" s="6"/>
      <c r="Q115" s="6"/>
      <c r="R115" s="6"/>
      <c r="T115" s="18"/>
    </row>
    <row r="116" spans="4:20" ht="15" x14ac:dyDescent="0.3">
      <c r="D116" s="13"/>
      <c r="P116" s="6"/>
      <c r="Q116" s="6"/>
      <c r="R116" s="6"/>
      <c r="T116" s="18"/>
    </row>
    <row r="117" spans="4:20" ht="15" x14ac:dyDescent="0.3">
      <c r="D117" s="13"/>
      <c r="P117" s="6"/>
      <c r="Q117" s="6"/>
      <c r="R117" s="6"/>
      <c r="T117" s="18"/>
    </row>
    <row r="118" spans="4:20" ht="15" x14ac:dyDescent="0.3">
      <c r="D118" s="13"/>
      <c r="P118" s="6"/>
      <c r="Q118" s="6"/>
      <c r="R118" s="6"/>
      <c r="T118" s="18"/>
    </row>
    <row r="119" spans="4:20" ht="15" x14ac:dyDescent="0.3">
      <c r="D119" s="13"/>
      <c r="P119" s="6"/>
      <c r="Q119" s="6"/>
      <c r="R119" s="6"/>
      <c r="T119" s="18"/>
    </row>
    <row r="120" spans="4:20" ht="15" x14ac:dyDescent="0.3">
      <c r="D120" s="13"/>
      <c r="P120" s="6"/>
      <c r="Q120" s="6"/>
      <c r="R120" s="6"/>
      <c r="T120" s="18"/>
    </row>
    <row r="121" spans="4:20" ht="15" x14ac:dyDescent="0.3">
      <c r="D121" s="13"/>
      <c r="P121" s="6"/>
      <c r="Q121" s="6"/>
      <c r="R121" s="6"/>
      <c r="T121" s="18"/>
    </row>
    <row r="122" spans="4:20" ht="15" x14ac:dyDescent="0.3">
      <c r="D122" s="13"/>
      <c r="P122" s="6"/>
      <c r="Q122" s="6"/>
      <c r="R122" s="6"/>
      <c r="T122" s="18"/>
    </row>
    <row r="123" spans="4:20" ht="15" x14ac:dyDescent="0.3">
      <c r="D123" s="13"/>
      <c r="P123" s="6"/>
      <c r="Q123" s="6"/>
      <c r="R123" s="6"/>
      <c r="T123" s="18"/>
    </row>
    <row r="124" spans="4:20" ht="15" x14ac:dyDescent="0.3">
      <c r="D124" s="13"/>
      <c r="P124" s="6"/>
      <c r="Q124" s="6"/>
      <c r="R124" s="6"/>
      <c r="T124" s="18"/>
    </row>
    <row r="125" spans="4:20" ht="15" x14ac:dyDescent="0.3">
      <c r="D125" s="13"/>
      <c r="P125" s="6"/>
      <c r="Q125" s="6"/>
      <c r="R125" s="6"/>
      <c r="T125" s="18"/>
    </row>
    <row r="126" spans="4:20" ht="15" x14ac:dyDescent="0.3">
      <c r="D126" s="13"/>
      <c r="P126" s="6"/>
      <c r="Q126" s="6"/>
      <c r="R126" s="6"/>
      <c r="T126" s="18"/>
    </row>
    <row r="127" spans="4:20" ht="15" x14ac:dyDescent="0.3">
      <c r="D127" s="13"/>
      <c r="P127" s="6"/>
      <c r="Q127" s="6"/>
      <c r="R127" s="6"/>
      <c r="T127" s="18"/>
    </row>
    <row r="128" spans="4:20" ht="15" x14ac:dyDescent="0.3">
      <c r="D128" s="13"/>
      <c r="P128" s="6"/>
      <c r="Q128" s="6"/>
      <c r="R128" s="6"/>
      <c r="T128" s="18"/>
    </row>
    <row r="129" spans="4:20" ht="15" x14ac:dyDescent="0.3">
      <c r="D129" s="13"/>
      <c r="P129" s="6"/>
      <c r="Q129" s="6"/>
      <c r="R129" s="6"/>
      <c r="T129" s="18"/>
    </row>
    <row r="130" spans="4:20" ht="15" x14ac:dyDescent="0.3">
      <c r="D130" s="13"/>
      <c r="P130" s="6"/>
      <c r="Q130" s="6"/>
      <c r="R130" s="6"/>
      <c r="T130" s="18"/>
    </row>
    <row r="131" spans="4:20" ht="15" x14ac:dyDescent="0.3">
      <c r="D131" s="13"/>
      <c r="P131" s="6"/>
      <c r="Q131" s="6"/>
      <c r="R131" s="6"/>
      <c r="T131" s="18"/>
    </row>
    <row r="132" spans="4:20" ht="15" x14ac:dyDescent="0.3">
      <c r="D132" s="13"/>
      <c r="P132" s="6"/>
      <c r="Q132" s="6"/>
      <c r="R132" s="6"/>
      <c r="T132" s="9"/>
    </row>
    <row r="133" spans="4:20" ht="15" x14ac:dyDescent="0.3">
      <c r="D133" s="13"/>
      <c r="P133" s="6"/>
      <c r="Q133" s="6"/>
      <c r="R133" s="6"/>
      <c r="T133" s="9"/>
    </row>
    <row r="134" spans="4:20" ht="15" x14ac:dyDescent="0.3">
      <c r="D134" s="13"/>
      <c r="P134" s="6"/>
      <c r="Q134" s="6"/>
      <c r="R134" s="6"/>
      <c r="T134" s="9"/>
    </row>
    <row r="135" spans="4:20" ht="15" x14ac:dyDescent="0.3">
      <c r="D135" s="13"/>
      <c r="P135" s="6"/>
      <c r="Q135" s="6"/>
      <c r="R135" s="6"/>
      <c r="T135" s="9"/>
    </row>
    <row r="136" spans="4:20" ht="15" x14ac:dyDescent="0.3">
      <c r="D136" s="13"/>
      <c r="P136" s="6"/>
      <c r="Q136" s="6"/>
      <c r="R136" s="6"/>
      <c r="T136" s="9"/>
    </row>
    <row r="137" spans="4:20" ht="15" x14ac:dyDescent="0.3">
      <c r="D137" s="13"/>
      <c r="P137" s="6"/>
      <c r="Q137" s="6"/>
      <c r="R137" s="6"/>
      <c r="T137" s="9"/>
    </row>
    <row r="138" spans="4:20" ht="15" x14ac:dyDescent="0.3">
      <c r="D138" s="13"/>
      <c r="P138" s="6"/>
      <c r="Q138" s="6"/>
      <c r="R138" s="6"/>
      <c r="T138" s="9"/>
    </row>
    <row r="139" spans="4:20" ht="15" x14ac:dyDescent="0.3">
      <c r="D139" s="13"/>
      <c r="P139" s="6"/>
      <c r="Q139" s="6"/>
      <c r="R139" s="6"/>
      <c r="T139" s="9"/>
    </row>
    <row r="140" spans="4:20" ht="15" x14ac:dyDescent="0.3">
      <c r="D140" s="13"/>
      <c r="P140" s="6"/>
      <c r="Q140" s="6"/>
      <c r="R140" s="6"/>
      <c r="T140" s="9"/>
    </row>
    <row r="141" spans="4:20" ht="15" x14ac:dyDescent="0.3">
      <c r="D141" s="13"/>
      <c r="P141" s="6"/>
      <c r="Q141" s="6"/>
      <c r="R141" s="6"/>
      <c r="T141" s="9"/>
    </row>
    <row r="142" spans="4:20" ht="15" x14ac:dyDescent="0.3">
      <c r="D142" s="13"/>
      <c r="T142" s="9"/>
    </row>
    <row r="143" spans="4:20" ht="15" x14ac:dyDescent="0.3">
      <c r="D143" s="13"/>
      <c r="T143" s="9"/>
    </row>
    <row r="144" spans="4:20" ht="15" x14ac:dyDescent="0.3">
      <c r="D144" s="13"/>
      <c r="T144" s="9"/>
    </row>
    <row r="145" spans="4:20" ht="15" x14ac:dyDescent="0.3">
      <c r="D145" s="13"/>
      <c r="T145" s="9"/>
    </row>
    <row r="146" spans="4:20" ht="15" x14ac:dyDescent="0.3">
      <c r="D146" s="13"/>
      <c r="T146" s="9"/>
    </row>
    <row r="147" spans="4:20" ht="15" x14ac:dyDescent="0.3">
      <c r="D147" s="13"/>
      <c r="T147" s="9"/>
    </row>
    <row r="148" spans="4:20" ht="15" x14ac:dyDescent="0.3">
      <c r="D148" s="13"/>
      <c r="T148" s="9"/>
    </row>
    <row r="149" spans="4:20" ht="15" x14ac:dyDescent="0.3">
      <c r="D149" s="13"/>
      <c r="T149" s="9"/>
    </row>
    <row r="150" spans="4:20" x14ac:dyDescent="0.25">
      <c r="T150" s="9"/>
    </row>
    <row r="151" spans="4:20" x14ac:dyDescent="0.25">
      <c r="T151" s="9"/>
    </row>
    <row r="152" spans="4:20" x14ac:dyDescent="0.25">
      <c r="T152" s="9"/>
    </row>
    <row r="153" spans="4:20" x14ac:dyDescent="0.25">
      <c r="T153" s="9"/>
    </row>
    <row r="154" spans="4:20" x14ac:dyDescent="0.25">
      <c r="T154" s="9"/>
    </row>
    <row r="155" spans="4:20" x14ac:dyDescent="0.25">
      <c r="T155" s="9"/>
    </row>
    <row r="156" spans="4:20" x14ac:dyDescent="0.25">
      <c r="T156" s="9"/>
    </row>
    <row r="157" spans="4:20" x14ac:dyDescent="0.25">
      <c r="T157" s="9"/>
    </row>
    <row r="158" spans="4:20" x14ac:dyDescent="0.25">
      <c r="T158" s="9"/>
    </row>
    <row r="159" spans="4:20" x14ac:dyDescent="0.25">
      <c r="T159" s="9"/>
    </row>
  </sheetData>
  <phoneticPr fontId="1" type="noConversion"/>
  <pageMargins left="0.7" right="0.7" top="0.75" bottom="0.75" header="0.3" footer="0.3"/>
  <pageSetup paperSize="9" orientation="portrait" r:id="rId1"/>
  <ignoredErrors>
    <ignoredError sqref="E21:E2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2025-11-26T04:15:27Z</dcterms:modified>
</cp:coreProperties>
</file>