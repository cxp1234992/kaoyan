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2" i="1" l="1"/>
  <c r="R2" i="1"/>
  <c r="Q2" i="1"/>
  <c r="P2" i="1"/>
</calcChain>
</file>

<file path=xl/sharedStrings.xml><?xml version="1.0" encoding="utf-8"?>
<sst xmlns="http://schemas.openxmlformats.org/spreadsheetml/2006/main" count="45" uniqueCount="45">
  <si>
    <t>作者</t>
  </si>
  <si>
    <t>年份</t>
  </si>
  <si>
    <t>次数</t>
  </si>
  <si>
    <t>总分</t>
  </si>
  <si>
    <t>日期</t>
  </si>
  <si>
    <t>时间</t>
  </si>
  <si>
    <t>难度</t>
  </si>
  <si>
    <t>状态</t>
  </si>
  <si>
    <t>客观</t>
    <phoneticPr fontId="5" type="noConversion"/>
  </si>
  <si>
    <t>主观</t>
    <phoneticPr fontId="5" type="noConversion"/>
  </si>
  <si>
    <t>王道-1</t>
    <phoneticPr fontId="5" type="noConversion"/>
  </si>
  <si>
    <t>DS</t>
    <phoneticPr fontId="5" type="noConversion"/>
  </si>
  <si>
    <t>CO</t>
    <phoneticPr fontId="5" type="noConversion"/>
  </si>
  <si>
    <t>CN</t>
    <phoneticPr fontId="5" type="noConversion"/>
  </si>
  <si>
    <t>OS</t>
    <phoneticPr fontId="5" type="noConversion"/>
  </si>
  <si>
    <t>备注</t>
    <phoneticPr fontId="5" type="noConversion"/>
  </si>
  <si>
    <t>第一次写卷子，最主要问题是忘了，DS跟CO很多基本概念不清楚，CN是还没二轮复习到，OS正在复习所以大部分还记得。后续应当多复盘多二刷三刷与整理笔记</t>
    <phoneticPr fontId="5" type="noConversion"/>
  </si>
  <si>
    <t>王道-2</t>
    <phoneticPr fontId="5" type="noConversion"/>
  </si>
  <si>
    <t>还是老问题，什么都不记得，CO,OS半个月没看就全忘完了</t>
    <phoneticPr fontId="5" type="noConversion"/>
  </si>
  <si>
    <t>王道-3</t>
    <phoneticPr fontId="5" type="noConversion"/>
  </si>
  <si>
    <t>选择题其实错了两个是失误；大题主要错的文件系统跟机器代码，整体其实大部分都还是比较会的，后面继续四轮复习了</t>
    <phoneticPr fontId="5" type="noConversion"/>
  </si>
  <si>
    <t>整体均分</t>
    <phoneticPr fontId="5" type="noConversion"/>
  </si>
  <si>
    <t>[全真模拟] 选择题终于出息了；大题计组的还看漏了一题；这次问题主要出在知识点覆盖不全面，选择题计网很多都不会，大题也是</t>
    <phoneticPr fontId="5" type="noConversion"/>
  </si>
  <si>
    <t>[全真模拟] 归并不会直接10分没了</t>
    <phoneticPr fontId="5" type="noConversion"/>
  </si>
  <si>
    <t>真题均分</t>
    <phoneticPr fontId="5" type="noConversion"/>
  </si>
  <si>
    <t>模拟卷均分</t>
    <phoneticPr fontId="5" type="noConversion"/>
  </si>
  <si>
    <t>不知道怎么输，好多题答案都记得了，直接超级过拟合；错的都是细节问题，选择题忘了交换机是二层，代码题忘了要先定义struct，计组忘了(MDR)的括号，OS10+100=210我是神人了</t>
    <phoneticPr fontId="5" type="noConversion"/>
  </si>
  <si>
    <t>DS, CO, OS, CN</t>
    <phoneticPr fontId="5" type="noConversion"/>
  </si>
  <si>
    <t>MAC要减18B，FCFS不叫FIFO</t>
    <phoneticPr fontId="5" type="noConversion"/>
  </si>
  <si>
    <t>选择题错的比较细节的知识点，大题主要是代码不是最优解，计组是算错了一位，PV忘了互斥，同步写得也不够完美</t>
    <phoneticPr fontId="5" type="noConversion"/>
  </si>
  <si>
    <t>代码时间复杂度看漏了，T44没看到是16位直接当32位做的，T46答案把块数好像没算0得记忆一下，T47应该是报文的单位是B写成了KB</t>
    <phoneticPr fontId="5" type="noConversion"/>
  </si>
  <si>
    <t>CN选择题炸掉了，英文名全部不记得</t>
    <phoneticPr fontId="5" type="noConversion"/>
  </si>
  <si>
    <t>DS大题有点新，WPL代码题depth从0开始；PV题对于连续10次访问用for包裹</t>
    <phoneticPr fontId="5" type="noConversion"/>
  </si>
  <si>
    <t>11.10</t>
    <phoneticPr fontId="5" type="noConversion"/>
  </si>
  <si>
    <t>计网最小帧长忘了怎么算，哈希表应该是长度n+1，邻接矩阵主对角线是0</t>
    <phoneticPr fontId="5" type="noConversion"/>
  </si>
  <si>
    <t>这次计网暴难，也可能是还没复盘到导致的。CPU时间是中断服务时间+响应时间</t>
    <phoneticPr fontId="5" type="noConversion"/>
  </si>
  <si>
    <t>OS调scanf忘了返回还有2个状态；计网又烂完了</t>
    <phoneticPr fontId="5" type="noConversion"/>
  </si>
  <si>
    <t>代码题哈希表开n+2个足够了；OS选择题错的是忘了进程调度第一次也要算时间</t>
    <phoneticPr fontId="5" type="noConversion"/>
  </si>
  <si>
    <t>FAT可以管理空闲磁盘块；T36不是很会算，T39纯看错了（问ack我答的seq）；大题数据结构循环队列写的不是很好</t>
    <phoneticPr fontId="5" type="noConversion"/>
  </si>
  <si>
    <t>计组大题答的不是很好（比较主观题，细节把握不好）</t>
    <phoneticPr fontId="5" type="noConversion"/>
  </si>
  <si>
    <t>计网真炸了，后期需要好好整理总结了</t>
    <phoneticPr fontId="5" type="noConversion"/>
  </si>
  <si>
    <t>竟成-1</t>
    <phoneticPr fontId="5" type="noConversion"/>
  </si>
  <si>
    <t>极好的模拟题，做的时候以为是李艳芳难度，但看完答案其实没有那么难，大概今年李林那样吧。选择题DS比较难，其余的考点有的很偏。大题其实不算特别难，但是没有什么时间写了</t>
    <phoneticPr fontId="5" type="noConversion"/>
  </si>
  <si>
    <t>竟成-2</t>
    <phoneticPr fontId="5" type="noConversion"/>
  </si>
  <si>
    <t>比上一套简单了，但是考的有点偏。从小到大排序要用大根堆。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</si>
</sst>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方正大黑简体"/>
      <family val="4"/>
      <charset val="134"/>
    </font>
    <font>
      <sz val="11"/>
      <color rgb="FF9C0006"/>
      <name val="Consolas"/>
      <family val="3"/>
    </font>
    <font>
      <sz val="11"/>
      <color rgb="FF006100"/>
      <name val="Consolas"/>
      <family val="3"/>
    </font>
    <font>
      <sz val="11"/>
      <color rgb="FF9C65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0" fontId="1" fillId="2" borderId="0" xfId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2" applyFont="1" applyAlignment="1">
      <alignment horizontal="center"/>
    </xf>
    <xf numFmtId="0" fontId="8" fillId="2" borderId="0" xfId="1" applyFont="1" applyAlignment="1">
      <alignment horizontal="center"/>
    </xf>
    <xf numFmtId="0" fontId="9" fillId="4" borderId="0" xfId="3" applyFont="1" applyAlignment="1">
      <alignment horizontal="center"/>
    </xf>
    <xf numFmtId="49" fontId="0" fillId="0" borderId="0" xfId="0" applyNumberFormat="1" applyAlignment="1">
      <alignment horizont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activeCell="O25" sqref="O25"/>
    </sheetView>
  </sheetViews>
  <sheetFormatPr defaultRowHeight="14.4" x14ac:dyDescent="0.25"/>
  <cols>
    <col min="2" max="2" width="5.44140625" customWidth="1"/>
    <col min="3" max="3" width="4.33203125" customWidth="1"/>
    <col min="4" max="4" width="6.44140625" customWidth="1"/>
    <col min="5" max="5" width="6.21875" customWidth="1"/>
    <col min="6" max="6" width="4.6640625" customWidth="1"/>
    <col min="7" max="7" width="4.77734375" customWidth="1"/>
    <col min="8" max="8" width="3.77734375" customWidth="1"/>
    <col min="9" max="9" width="6.33203125" customWidth="1"/>
    <col min="10" max="10" width="5.77734375" customWidth="1"/>
    <col min="15" max="15" width="35.6640625" customWidth="1"/>
    <col min="16" max="16" width="10.88671875" customWidth="1"/>
    <col min="17" max="17" width="10.21875" customWidth="1"/>
    <col min="18" max="18" width="11.33203125" customWidth="1"/>
    <col min="19" max="19" width="17.77734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14</v>
      </c>
      <c r="N1" s="1" t="s">
        <v>13</v>
      </c>
      <c r="O1" s="1" t="s">
        <v>15</v>
      </c>
      <c r="P1" s="1" t="s">
        <v>21</v>
      </c>
      <c r="Q1" s="1" t="s">
        <v>24</v>
      </c>
      <c r="R1" s="1" t="s">
        <v>25</v>
      </c>
      <c r="S1" s="1" t="s">
        <v>27</v>
      </c>
      <c r="T1" s="3"/>
    </row>
    <row r="2" spans="1:20" ht="15" x14ac:dyDescent="0.3">
      <c r="A2" s="3" t="s">
        <v>10</v>
      </c>
      <c r="B2" s="3">
        <v>2024</v>
      </c>
      <c r="C2" s="3">
        <v>1</v>
      </c>
      <c r="D2" s="8">
        <v>111</v>
      </c>
      <c r="E2" s="3">
        <v>8.17</v>
      </c>
      <c r="F2" s="5">
        <v>155</v>
      </c>
      <c r="G2" s="3">
        <v>3</v>
      </c>
      <c r="H2" s="4">
        <v>2</v>
      </c>
      <c r="I2" s="4">
        <v>20</v>
      </c>
      <c r="J2" s="4">
        <v>19</v>
      </c>
      <c r="K2" s="4">
        <v>10</v>
      </c>
      <c r="L2" s="4">
        <v>12</v>
      </c>
      <c r="M2" s="5">
        <v>3</v>
      </c>
      <c r="N2" s="4">
        <v>14</v>
      </c>
      <c r="O2" s="2" t="s">
        <v>16</v>
      </c>
      <c r="P2" s="3">
        <f>AVERAGE(D:D)</f>
        <v>132.05000000000001</v>
      </c>
      <c r="Q2" s="3">
        <f>AVERAGEIFS(D:D, A:A, 408)</f>
        <v>138</v>
      </c>
      <c r="R2" s="3">
        <f>AVERAGEIFS(D:D, A:A, "&lt;&gt;408")</f>
        <v>114.2</v>
      </c>
      <c r="S2" s="3" t="str">
        <f>TEXT(ROUND(AVERAGE(K:K),1),"0.0") &amp; "," &amp;
 TEXT(ROUND(AVERAGE(L:L),1),"0.0") &amp; "," &amp;
 TEXT(ROUND(AVERAGE(M:M),1),"0.0") &amp; "," &amp;
 TEXT(ROUND(AVERAGE(N:N),1),"0.0")</f>
        <v>4.5,4.8,4.4,4.3</v>
      </c>
      <c r="T2" s="3"/>
    </row>
    <row r="3" spans="1:20" ht="15" x14ac:dyDescent="0.3">
      <c r="A3" s="3" t="s">
        <v>17</v>
      </c>
      <c r="B3" s="3">
        <v>2024</v>
      </c>
      <c r="C3" s="3">
        <v>1</v>
      </c>
      <c r="D3" s="8">
        <v>101</v>
      </c>
      <c r="E3" s="3">
        <v>9.2200000000000006</v>
      </c>
      <c r="F3" s="3">
        <v>133</v>
      </c>
      <c r="G3" s="3">
        <v>3</v>
      </c>
      <c r="H3" s="3">
        <v>3</v>
      </c>
      <c r="I3" s="4">
        <v>30</v>
      </c>
      <c r="J3" s="4">
        <v>19</v>
      </c>
      <c r="K3" s="4">
        <v>9</v>
      </c>
      <c r="L3" s="4">
        <v>19</v>
      </c>
      <c r="M3" s="4">
        <v>15</v>
      </c>
      <c r="N3" s="4">
        <v>6</v>
      </c>
      <c r="O3" s="2" t="s">
        <v>18</v>
      </c>
      <c r="P3" s="3"/>
      <c r="Q3" s="3"/>
      <c r="R3" s="3"/>
      <c r="S3" s="3"/>
      <c r="T3" s="3"/>
    </row>
    <row r="4" spans="1:20" ht="15" x14ac:dyDescent="0.3">
      <c r="A4" s="7">
        <v>408</v>
      </c>
      <c r="B4" s="3">
        <v>2023</v>
      </c>
      <c r="C4" s="3">
        <v>1</v>
      </c>
      <c r="D4" s="8">
        <v>120</v>
      </c>
      <c r="E4" s="3">
        <v>9.27</v>
      </c>
      <c r="F4" s="3">
        <v>175</v>
      </c>
      <c r="G4" s="3">
        <v>3</v>
      </c>
      <c r="H4" s="3">
        <v>4</v>
      </c>
      <c r="I4" s="4">
        <v>14</v>
      </c>
      <c r="J4" s="4">
        <v>16</v>
      </c>
      <c r="K4" s="4">
        <v>12</v>
      </c>
      <c r="L4" s="4">
        <v>12</v>
      </c>
      <c r="M4" s="5">
        <v>5</v>
      </c>
      <c r="N4" s="6">
        <v>1</v>
      </c>
      <c r="O4" s="2" t="s">
        <v>23</v>
      </c>
      <c r="P4" s="3"/>
      <c r="Q4" s="3"/>
      <c r="R4" s="3"/>
      <c r="S4" s="3"/>
      <c r="T4" s="3"/>
    </row>
    <row r="5" spans="1:20" ht="15" x14ac:dyDescent="0.3">
      <c r="A5" s="3" t="s">
        <v>19</v>
      </c>
      <c r="B5" s="3">
        <v>2024</v>
      </c>
      <c r="C5" s="3">
        <v>1</v>
      </c>
      <c r="D5" s="10">
        <v>132</v>
      </c>
      <c r="E5" s="3">
        <v>10.19</v>
      </c>
      <c r="F5" s="3">
        <v>150</v>
      </c>
      <c r="G5" s="3">
        <v>2</v>
      </c>
      <c r="H5" s="3">
        <v>4</v>
      </c>
      <c r="I5" s="5">
        <v>8</v>
      </c>
      <c r="J5" s="5">
        <v>10</v>
      </c>
      <c r="K5" s="6">
        <v>2</v>
      </c>
      <c r="L5" s="5">
        <v>6</v>
      </c>
      <c r="M5" s="4">
        <v>8</v>
      </c>
      <c r="N5" s="6">
        <v>2</v>
      </c>
      <c r="O5" s="2" t="s">
        <v>20</v>
      </c>
      <c r="P5" s="3"/>
      <c r="Q5" s="3"/>
      <c r="R5" s="3"/>
      <c r="S5" s="3"/>
      <c r="T5" s="3"/>
    </row>
    <row r="6" spans="1:20" ht="15" x14ac:dyDescent="0.3">
      <c r="A6" s="7">
        <v>408</v>
      </c>
      <c r="B6" s="3">
        <v>2024</v>
      </c>
      <c r="C6" s="3">
        <v>1</v>
      </c>
      <c r="D6" s="10">
        <v>134</v>
      </c>
      <c r="E6" s="3">
        <v>11.1</v>
      </c>
      <c r="F6" s="3">
        <v>178</v>
      </c>
      <c r="G6" s="3">
        <v>3</v>
      </c>
      <c r="H6" s="3">
        <v>5</v>
      </c>
      <c r="I6" s="5">
        <v>6</v>
      </c>
      <c r="J6" s="5">
        <v>10</v>
      </c>
      <c r="K6" s="5">
        <v>4</v>
      </c>
      <c r="L6" s="5">
        <v>4</v>
      </c>
      <c r="M6" s="6">
        <v>3</v>
      </c>
      <c r="N6" s="5">
        <v>5</v>
      </c>
      <c r="O6" s="2" t="s">
        <v>22</v>
      </c>
      <c r="P6" s="3"/>
      <c r="Q6" s="3"/>
      <c r="R6" s="3"/>
      <c r="S6" s="3"/>
      <c r="T6" s="3"/>
    </row>
    <row r="7" spans="1:20" ht="15" x14ac:dyDescent="0.3">
      <c r="A7" s="7">
        <v>408</v>
      </c>
      <c r="B7" s="3">
        <v>2009</v>
      </c>
      <c r="C7" s="3">
        <v>1</v>
      </c>
      <c r="D7" s="9">
        <v>144</v>
      </c>
      <c r="E7" s="3">
        <v>11.3</v>
      </c>
      <c r="F7" s="3">
        <v>80</v>
      </c>
      <c r="G7" s="6">
        <v>1</v>
      </c>
      <c r="H7" s="3">
        <v>3</v>
      </c>
      <c r="I7" s="6">
        <v>2</v>
      </c>
      <c r="J7" s="6">
        <v>4</v>
      </c>
      <c r="K7" s="6">
        <v>2</v>
      </c>
      <c r="L7" s="6">
        <v>1</v>
      </c>
      <c r="M7" s="6">
        <v>1</v>
      </c>
      <c r="N7" s="6">
        <v>2</v>
      </c>
      <c r="O7" s="2" t="s">
        <v>26</v>
      </c>
      <c r="P7" s="3"/>
      <c r="Q7" s="3"/>
      <c r="R7" s="3"/>
      <c r="S7" s="3"/>
      <c r="T7" s="3"/>
    </row>
    <row r="8" spans="1:20" ht="15" x14ac:dyDescent="0.3">
      <c r="A8" s="7">
        <v>408</v>
      </c>
      <c r="B8" s="3">
        <v>2010</v>
      </c>
      <c r="C8" s="3">
        <v>1</v>
      </c>
      <c r="D8" s="9">
        <v>147</v>
      </c>
      <c r="E8" s="3">
        <v>11.4</v>
      </c>
      <c r="F8" s="3">
        <v>99</v>
      </c>
      <c r="G8" s="3">
        <v>2</v>
      </c>
      <c r="H8" s="3">
        <v>4</v>
      </c>
      <c r="I8" s="6">
        <v>0</v>
      </c>
      <c r="J8" s="6">
        <v>3</v>
      </c>
      <c r="K8" s="6">
        <v>0</v>
      </c>
      <c r="L8" s="6">
        <v>0</v>
      </c>
      <c r="M8" s="6">
        <v>1</v>
      </c>
      <c r="N8" s="6">
        <v>2</v>
      </c>
      <c r="O8" s="2" t="s">
        <v>28</v>
      </c>
      <c r="P8" s="3"/>
      <c r="Q8" s="3"/>
      <c r="R8" s="3"/>
      <c r="S8" s="3"/>
      <c r="T8" s="3"/>
    </row>
    <row r="9" spans="1:20" ht="15" x14ac:dyDescent="0.3">
      <c r="A9" s="7">
        <v>408</v>
      </c>
      <c r="B9" s="3">
        <v>2011</v>
      </c>
      <c r="C9" s="3">
        <v>1</v>
      </c>
      <c r="D9" s="10">
        <v>130</v>
      </c>
      <c r="E9" s="3">
        <v>11.5</v>
      </c>
      <c r="F9" s="3">
        <v>119</v>
      </c>
      <c r="G9" s="3">
        <v>3</v>
      </c>
      <c r="H9" s="3">
        <v>4</v>
      </c>
      <c r="I9" s="5">
        <v>8</v>
      </c>
      <c r="J9" s="5">
        <v>12</v>
      </c>
      <c r="K9" s="4">
        <v>7</v>
      </c>
      <c r="L9" s="5">
        <v>4</v>
      </c>
      <c r="M9" s="4">
        <v>8</v>
      </c>
      <c r="N9" s="6">
        <v>1</v>
      </c>
      <c r="O9" s="2" t="s">
        <v>29</v>
      </c>
      <c r="P9" s="3"/>
      <c r="Q9" s="3"/>
      <c r="R9" s="3"/>
      <c r="S9" s="3"/>
      <c r="T9" s="3"/>
    </row>
    <row r="10" spans="1:20" ht="15" x14ac:dyDescent="0.3">
      <c r="A10" s="7">
        <v>408</v>
      </c>
      <c r="B10" s="3">
        <v>2012</v>
      </c>
      <c r="C10" s="3">
        <v>1</v>
      </c>
      <c r="D10" s="9">
        <v>136</v>
      </c>
      <c r="E10" s="3">
        <v>11.7</v>
      </c>
      <c r="F10" s="3">
        <v>134</v>
      </c>
      <c r="G10" s="3">
        <v>3</v>
      </c>
      <c r="H10" s="3">
        <v>4</v>
      </c>
      <c r="I10" s="5">
        <v>6</v>
      </c>
      <c r="J10" s="5">
        <v>8</v>
      </c>
      <c r="K10" s="6">
        <v>2</v>
      </c>
      <c r="L10" s="4">
        <v>6</v>
      </c>
      <c r="M10" s="6">
        <v>2</v>
      </c>
      <c r="N10" s="5">
        <v>4</v>
      </c>
      <c r="O10" s="2" t="s">
        <v>30</v>
      </c>
      <c r="P10" s="3"/>
      <c r="Q10" s="3"/>
      <c r="R10" s="3"/>
      <c r="S10" s="3"/>
      <c r="T10" s="3"/>
    </row>
    <row r="11" spans="1:20" ht="15" x14ac:dyDescent="0.3">
      <c r="A11" s="7">
        <v>408</v>
      </c>
      <c r="B11" s="3">
        <v>2013</v>
      </c>
      <c r="C11" s="3">
        <v>1</v>
      </c>
      <c r="D11" s="9">
        <v>136</v>
      </c>
      <c r="E11" s="3">
        <v>11.9</v>
      </c>
      <c r="F11" s="3">
        <v>107</v>
      </c>
      <c r="G11" s="3">
        <v>2</v>
      </c>
      <c r="H11" s="3">
        <v>4</v>
      </c>
      <c r="I11" s="5">
        <v>10</v>
      </c>
      <c r="J11" s="6">
        <v>4</v>
      </c>
      <c r="K11" s="6">
        <v>1</v>
      </c>
      <c r="L11" s="5">
        <v>3</v>
      </c>
      <c r="M11" s="6">
        <v>2</v>
      </c>
      <c r="N11" s="4">
        <v>8</v>
      </c>
      <c r="O11" s="2" t="s">
        <v>31</v>
      </c>
      <c r="P11" s="3"/>
      <c r="Q11" s="3"/>
      <c r="R11" s="3"/>
      <c r="S11" s="3"/>
      <c r="T11" s="3"/>
    </row>
    <row r="12" spans="1:20" ht="15" x14ac:dyDescent="0.3">
      <c r="A12" s="7">
        <v>408</v>
      </c>
      <c r="B12" s="3">
        <v>2014</v>
      </c>
      <c r="C12" s="3">
        <v>1</v>
      </c>
      <c r="D12" s="9">
        <v>139</v>
      </c>
      <c r="E12" s="11" t="s">
        <v>33</v>
      </c>
      <c r="F12" s="3">
        <v>130</v>
      </c>
      <c r="G12" s="3">
        <v>2</v>
      </c>
      <c r="H12" s="3">
        <v>4</v>
      </c>
      <c r="I12" s="6">
        <v>2</v>
      </c>
      <c r="J12" s="5">
        <v>9</v>
      </c>
      <c r="K12" s="4">
        <v>6</v>
      </c>
      <c r="L12" s="6">
        <v>0</v>
      </c>
      <c r="M12" s="5">
        <v>5</v>
      </c>
      <c r="N12" s="6">
        <v>0</v>
      </c>
      <c r="O12" s="2" t="s">
        <v>32</v>
      </c>
      <c r="P12" s="3"/>
      <c r="Q12" s="3"/>
      <c r="R12" s="3"/>
      <c r="S12" s="3"/>
      <c r="T12" s="3"/>
    </row>
    <row r="13" spans="1:20" ht="15" x14ac:dyDescent="0.3">
      <c r="A13" s="7">
        <v>408</v>
      </c>
      <c r="B13" s="3">
        <v>2015</v>
      </c>
      <c r="C13" s="3">
        <v>1</v>
      </c>
      <c r="D13" s="9">
        <v>143</v>
      </c>
      <c r="E13" s="3">
        <v>11.12</v>
      </c>
      <c r="F13" s="3">
        <v>103</v>
      </c>
      <c r="G13" s="6">
        <v>1</v>
      </c>
      <c r="H13" s="3">
        <v>4</v>
      </c>
      <c r="I13" s="6">
        <v>2</v>
      </c>
      <c r="J13" s="5">
        <v>5</v>
      </c>
      <c r="K13" s="5">
        <v>4</v>
      </c>
      <c r="L13" s="6">
        <v>0</v>
      </c>
      <c r="M13" s="6">
        <v>1</v>
      </c>
      <c r="N13" s="6">
        <v>2</v>
      </c>
      <c r="O13" s="2" t="s">
        <v>34</v>
      </c>
      <c r="P13" s="3"/>
      <c r="Q13" s="3"/>
      <c r="R13" s="3"/>
      <c r="S13" s="3"/>
      <c r="T13" s="3"/>
    </row>
    <row r="14" spans="1:20" ht="15" x14ac:dyDescent="0.3">
      <c r="A14" s="7">
        <v>408</v>
      </c>
      <c r="B14" s="3">
        <v>2016</v>
      </c>
      <c r="C14" s="3">
        <v>1</v>
      </c>
      <c r="D14" s="9">
        <v>139</v>
      </c>
      <c r="E14" s="3">
        <v>11.13</v>
      </c>
      <c r="F14" s="3">
        <v>112</v>
      </c>
      <c r="G14" s="3">
        <v>2</v>
      </c>
      <c r="H14" s="3">
        <v>4</v>
      </c>
      <c r="I14" s="6">
        <v>4</v>
      </c>
      <c r="J14" s="5">
        <v>7</v>
      </c>
      <c r="K14" s="5">
        <v>3</v>
      </c>
      <c r="L14" s="6">
        <v>1</v>
      </c>
      <c r="M14" s="6">
        <v>1</v>
      </c>
      <c r="N14" s="5">
        <v>6</v>
      </c>
      <c r="O14" s="2" t="s">
        <v>35</v>
      </c>
      <c r="P14" s="3"/>
      <c r="Q14" s="3"/>
      <c r="R14" s="3"/>
      <c r="S14" s="3"/>
      <c r="T14" s="3"/>
    </row>
    <row r="15" spans="1:20" ht="15" x14ac:dyDescent="0.3">
      <c r="A15" s="7">
        <v>408</v>
      </c>
      <c r="B15" s="3">
        <v>2017</v>
      </c>
      <c r="C15" s="3">
        <v>1</v>
      </c>
      <c r="D15" s="9">
        <v>143</v>
      </c>
      <c r="E15" s="3">
        <v>11.18</v>
      </c>
      <c r="F15" s="3">
        <v>112</v>
      </c>
      <c r="G15" s="3">
        <v>2</v>
      </c>
      <c r="H15" s="3">
        <v>4</v>
      </c>
      <c r="I15" s="6">
        <v>0</v>
      </c>
      <c r="J15" s="5">
        <v>7</v>
      </c>
      <c r="K15" s="6">
        <v>1</v>
      </c>
      <c r="L15" s="6">
        <v>0</v>
      </c>
      <c r="M15" s="6">
        <v>2</v>
      </c>
      <c r="N15" s="5">
        <v>4</v>
      </c>
      <c r="O15" s="2" t="s">
        <v>36</v>
      </c>
      <c r="P15" s="3"/>
      <c r="Q15" s="3"/>
      <c r="R15" s="3"/>
      <c r="S15" s="3"/>
      <c r="T15" s="3"/>
    </row>
    <row r="16" spans="1:20" ht="15" x14ac:dyDescent="0.3">
      <c r="A16" s="7">
        <v>408</v>
      </c>
      <c r="B16" s="3">
        <v>2018</v>
      </c>
      <c r="C16" s="3">
        <v>1</v>
      </c>
      <c r="D16" s="9">
        <v>145</v>
      </c>
      <c r="E16" s="3">
        <v>11.19</v>
      </c>
      <c r="F16" s="3">
        <v>120</v>
      </c>
      <c r="G16" s="3">
        <v>3</v>
      </c>
      <c r="H16" s="3">
        <v>4</v>
      </c>
      <c r="I16" s="6">
        <v>2</v>
      </c>
      <c r="J16" s="6">
        <v>3</v>
      </c>
      <c r="K16" s="6">
        <v>2</v>
      </c>
      <c r="L16" s="6">
        <v>1</v>
      </c>
      <c r="M16" s="6">
        <v>2</v>
      </c>
      <c r="N16" s="6">
        <v>0</v>
      </c>
      <c r="O16" s="2" t="s">
        <v>37</v>
      </c>
      <c r="P16" s="3"/>
      <c r="Q16" s="3"/>
      <c r="R16" s="3"/>
      <c r="S16" s="3"/>
      <c r="T16" s="3"/>
    </row>
    <row r="17" spans="1:20" ht="15" x14ac:dyDescent="0.3">
      <c r="A17" s="7">
        <v>408</v>
      </c>
      <c r="B17" s="3">
        <v>2019</v>
      </c>
      <c r="C17" s="3">
        <v>1</v>
      </c>
      <c r="D17" s="9">
        <v>139</v>
      </c>
      <c r="E17" s="3">
        <v>11.21</v>
      </c>
      <c r="F17" s="3">
        <v>144</v>
      </c>
      <c r="G17" s="3">
        <v>3</v>
      </c>
      <c r="H17" s="3">
        <v>4</v>
      </c>
      <c r="I17" s="5">
        <v>6</v>
      </c>
      <c r="J17" s="5">
        <v>5</v>
      </c>
      <c r="K17" s="6">
        <v>2</v>
      </c>
      <c r="L17" s="6">
        <v>1</v>
      </c>
      <c r="M17" s="5">
        <v>4</v>
      </c>
      <c r="N17" s="5">
        <v>4</v>
      </c>
      <c r="O17" s="2" t="s">
        <v>38</v>
      </c>
      <c r="P17" s="3"/>
      <c r="Q17" s="3"/>
      <c r="R17" s="3"/>
      <c r="S17" s="3"/>
      <c r="T17" s="3"/>
    </row>
    <row r="18" spans="1:20" ht="15" x14ac:dyDescent="0.3">
      <c r="A18" s="7">
        <v>408</v>
      </c>
      <c r="B18" s="3">
        <v>2020</v>
      </c>
      <c r="C18" s="3">
        <v>1</v>
      </c>
      <c r="D18" s="9">
        <v>137</v>
      </c>
      <c r="E18" s="3">
        <v>11.24</v>
      </c>
      <c r="F18" s="3">
        <v>137</v>
      </c>
      <c r="G18" s="3">
        <v>3</v>
      </c>
      <c r="H18" s="3">
        <v>4</v>
      </c>
      <c r="I18" s="5">
        <v>6</v>
      </c>
      <c r="J18" s="5">
        <v>7</v>
      </c>
      <c r="K18" s="6">
        <v>2</v>
      </c>
      <c r="L18" s="5">
        <v>6</v>
      </c>
      <c r="M18" s="6">
        <v>1</v>
      </c>
      <c r="N18" s="5">
        <v>4</v>
      </c>
      <c r="O18" s="2" t="s">
        <v>39</v>
      </c>
      <c r="P18" s="3"/>
      <c r="Q18" s="3"/>
      <c r="R18" s="3"/>
      <c r="S18" s="3"/>
      <c r="T18" s="3"/>
    </row>
    <row r="19" spans="1:20" ht="15" x14ac:dyDescent="0.3">
      <c r="A19" s="7">
        <v>408</v>
      </c>
      <c r="B19" s="3">
        <v>2021</v>
      </c>
      <c r="C19" s="3">
        <v>1</v>
      </c>
      <c r="D19" s="9">
        <v>138</v>
      </c>
      <c r="E19" s="3">
        <v>11.25</v>
      </c>
      <c r="F19" s="3">
        <v>125</v>
      </c>
      <c r="G19" s="3">
        <v>3</v>
      </c>
      <c r="H19" s="3">
        <v>3</v>
      </c>
      <c r="I19" s="5">
        <v>4</v>
      </c>
      <c r="J19" s="5">
        <v>8</v>
      </c>
      <c r="K19" s="6">
        <v>0</v>
      </c>
      <c r="L19" s="6">
        <v>2</v>
      </c>
      <c r="M19" s="6">
        <v>1</v>
      </c>
      <c r="N19" s="4">
        <v>9</v>
      </c>
      <c r="O19" s="2" t="s">
        <v>40</v>
      </c>
      <c r="P19" s="3"/>
      <c r="Q19" s="3"/>
      <c r="R19" s="3"/>
      <c r="S19" s="3"/>
      <c r="T19" s="3"/>
    </row>
    <row r="20" spans="1:20" x14ac:dyDescent="0.25">
      <c r="A20" s="3" t="s">
        <v>41</v>
      </c>
      <c r="B20" s="3">
        <v>2026</v>
      </c>
      <c r="C20" s="3">
        <v>1</v>
      </c>
      <c r="D20" s="3">
        <v>110</v>
      </c>
      <c r="E20" s="3">
        <v>11.26</v>
      </c>
      <c r="F20" s="3">
        <v>159</v>
      </c>
      <c r="G20" s="4">
        <v>5</v>
      </c>
      <c r="H20" s="3">
        <v>4</v>
      </c>
      <c r="I20" s="3">
        <v>20</v>
      </c>
      <c r="J20" s="3">
        <v>20</v>
      </c>
      <c r="K20" s="3">
        <v>5</v>
      </c>
      <c r="L20" s="3">
        <v>15</v>
      </c>
      <c r="M20" s="3">
        <v>12</v>
      </c>
      <c r="N20" s="3">
        <v>8</v>
      </c>
      <c r="O20" s="2" t="s">
        <v>42</v>
      </c>
      <c r="P20" s="3"/>
      <c r="Q20" s="3"/>
      <c r="R20" s="3"/>
      <c r="S20" s="3"/>
      <c r="T20" s="3"/>
    </row>
    <row r="21" spans="1:20" x14ac:dyDescent="0.25">
      <c r="A21" s="3" t="s">
        <v>43</v>
      </c>
      <c r="B21" s="3">
        <v>2026</v>
      </c>
      <c r="C21" s="3">
        <v>1</v>
      </c>
      <c r="D21" s="3">
        <v>117</v>
      </c>
      <c r="E21" s="3">
        <v>11.27</v>
      </c>
      <c r="F21" s="3">
        <v>115</v>
      </c>
      <c r="G21" s="3">
        <v>4</v>
      </c>
      <c r="H21" s="3">
        <v>4</v>
      </c>
      <c r="I21" s="3">
        <v>16</v>
      </c>
      <c r="J21" s="3">
        <v>17</v>
      </c>
      <c r="K21" s="3">
        <v>16</v>
      </c>
      <c r="L21" s="3">
        <v>3</v>
      </c>
      <c r="M21" s="3">
        <v>10</v>
      </c>
      <c r="N21" s="3">
        <v>4</v>
      </c>
      <c r="O21" s="2" t="s">
        <v>44</v>
      </c>
      <c r="P21" s="3"/>
      <c r="Q21" s="3"/>
      <c r="R21" s="3"/>
      <c r="S21" s="3"/>
      <c r="T21" s="3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"/>
      <c r="P22" s="3"/>
      <c r="Q22" s="3"/>
      <c r="R22" s="3"/>
      <c r="S22" s="3"/>
      <c r="T22" s="3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"/>
      <c r="P23" s="3"/>
      <c r="Q23" s="3"/>
      <c r="R23" s="3"/>
      <c r="S23" s="3"/>
      <c r="T23" s="3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"/>
      <c r="P24" s="3"/>
      <c r="Q24" s="3"/>
      <c r="R24" s="3"/>
      <c r="S24" s="3"/>
      <c r="T24" s="3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"/>
      <c r="P25" s="3"/>
      <c r="Q25" s="3"/>
      <c r="R25" s="3"/>
      <c r="S25" s="3"/>
      <c r="T25" s="3"/>
    </row>
    <row r="26" spans="1:2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"/>
      <c r="P26" s="3"/>
      <c r="Q26" s="3"/>
      <c r="R26" s="3"/>
      <c r="S26" s="3"/>
      <c r="T26" s="3"/>
    </row>
    <row r="27" spans="1:20" x14ac:dyDescent="0.25">
      <c r="O27" s="2"/>
    </row>
    <row r="28" spans="1:20" x14ac:dyDescent="0.25">
      <c r="O28" s="2"/>
    </row>
    <row r="29" spans="1:20" x14ac:dyDescent="0.25">
      <c r="O29" s="2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2025-11-27T14:57:01Z</dcterms:modified>
</cp:coreProperties>
</file>